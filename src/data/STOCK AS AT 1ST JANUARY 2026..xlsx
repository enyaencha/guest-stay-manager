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st Perk\Desktop\MASERA GUEST HSE DOCS\Masera 1\NEW\STOCK 2025 &amp; 2026\"/>
    </mc:Choice>
  </mc:AlternateContent>
  <bookViews>
    <workbookView xWindow="0" yWindow="0" windowWidth="19200" windowHeight="11190" activeTab="2"/>
  </bookViews>
  <sheets>
    <sheet name="STOCKSHEET" sheetId="1" r:id="rId1"/>
    <sheet name="TISSUES" sheetId="2" r:id="rId2"/>
    <sheet name="SAWA SOAP" sheetId="3" r:id="rId3"/>
    <sheet name="WATER 1LT" sheetId="13" r:id="rId4"/>
    <sheet name="WATER 500ML" sheetId="4" r:id="rId5"/>
    <sheet name="TRUST" sheetId="5" r:id="rId6"/>
    <sheet name="VASELINE" sheetId="6" r:id="rId7"/>
    <sheet name="TOOTHPASTE &amp; BRUSH" sheetId="7" r:id="rId8"/>
    <sheet name="SODA 500ML" sheetId="8" r:id="rId9"/>
    <sheet name="PREDATOR 500ML" sheetId="9" r:id="rId10"/>
    <sheet name="PANADOL EXTRA" sheetId="10" r:id="rId11"/>
    <sheet name="MARA MOJA " sheetId="11" r:id="rId12"/>
    <sheet name="VIM 500GM" sheetId="15" r:id="rId13"/>
  </sheets>
  <externalReferences>
    <externalReference r:id="rId1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6" l="1"/>
  <c r="C5" i="5"/>
  <c r="C6" i="3"/>
  <c r="K15" i="1" l="1"/>
  <c r="K14" i="1"/>
  <c r="G7" i="1"/>
  <c r="G5" i="1"/>
  <c r="H4" i="1"/>
  <c r="E8" i="1" l="1"/>
  <c r="B4" i="11" l="1"/>
  <c r="D4" i="8"/>
  <c r="B4" i="8"/>
  <c r="B4" i="7"/>
  <c r="B4" i="6"/>
  <c r="B4" i="5"/>
  <c r="D4" i="4"/>
  <c r="B4" i="4"/>
  <c r="D4" i="13"/>
  <c r="B4" i="13"/>
  <c r="D4" i="3"/>
  <c r="B4" i="3"/>
  <c r="D4" i="2"/>
  <c r="B4" i="2"/>
  <c r="D38" i="4" l="1"/>
  <c r="E7" i="1" s="1"/>
  <c r="E5" i="8" l="1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K7" i="1" l="1"/>
  <c r="H8" i="1"/>
  <c r="I8" i="1"/>
  <c r="K8" i="1"/>
  <c r="C38" i="4"/>
  <c r="D7" i="1" s="1"/>
  <c r="G18" i="13" l="1"/>
  <c r="G21" i="4" l="1"/>
  <c r="G14" i="1" l="1"/>
  <c r="G15" i="1"/>
  <c r="G9" i="1"/>
  <c r="G13" i="1" l="1"/>
  <c r="G12" i="1"/>
  <c r="G10" i="1"/>
  <c r="G6" i="1"/>
  <c r="G16" i="1" l="1"/>
  <c r="I16" i="1" s="1"/>
  <c r="C16" i="1"/>
  <c r="D28" i="15"/>
  <c r="E16" i="1" s="1"/>
  <c r="K16" i="1" s="1"/>
  <c r="C28" i="15"/>
  <c r="D16" i="1" s="1"/>
  <c r="B28" i="15"/>
  <c r="E4" i="15"/>
  <c r="E5" i="15" s="1"/>
  <c r="E6" i="15" s="1"/>
  <c r="E7" i="15" s="1"/>
  <c r="E8" i="15" s="1"/>
  <c r="E9" i="15" s="1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H16" i="1" l="1"/>
  <c r="B53" i="2" l="1"/>
  <c r="C4" i="1" s="1"/>
  <c r="D28" i="11"/>
  <c r="E15" i="1" s="1"/>
  <c r="C28" i="11"/>
  <c r="D15" i="1" s="1"/>
  <c r="I15" i="1" s="1"/>
  <c r="B28" i="11"/>
  <c r="C15" i="1" s="1"/>
  <c r="H15" i="1" s="1"/>
  <c r="E4" i="11"/>
  <c r="E5" i="11" s="1"/>
  <c r="E6" i="11" s="1"/>
  <c r="E7" i="11" s="1"/>
  <c r="E8" i="11" s="1"/>
  <c r="E9" i="11" s="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D28" i="10"/>
  <c r="E14" i="1" s="1"/>
  <c r="C28" i="10"/>
  <c r="D14" i="1" s="1"/>
  <c r="I14" i="1" s="1"/>
  <c r="B28" i="10"/>
  <c r="C14" i="1" s="1"/>
  <c r="H14" i="1" s="1"/>
  <c r="E4" i="10"/>
  <c r="E5" i="10" s="1"/>
  <c r="E6" i="10" s="1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D28" i="9"/>
  <c r="E13" i="1" s="1"/>
  <c r="K13" i="1" s="1"/>
  <c r="C28" i="9"/>
  <c r="D13" i="1" s="1"/>
  <c r="I13" i="1" s="1"/>
  <c r="B28" i="9"/>
  <c r="C13" i="1" s="1"/>
  <c r="H13" i="1" s="1"/>
  <c r="E4" i="9"/>
  <c r="E5" i="9" s="1"/>
  <c r="E6" i="9" s="1"/>
  <c r="E7" i="9" s="1"/>
  <c r="E8" i="9" s="1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D28" i="8"/>
  <c r="E12" i="1" s="1"/>
  <c r="K12" i="1" s="1"/>
  <c r="C28" i="8"/>
  <c r="D12" i="1" s="1"/>
  <c r="I12" i="1" s="1"/>
  <c r="B28" i="8"/>
  <c r="C12" i="1" s="1"/>
  <c r="H12" i="1" s="1"/>
  <c r="E4" i="8"/>
  <c r="D28" i="7"/>
  <c r="E11" i="1" s="1"/>
  <c r="K11" i="1" s="1"/>
  <c r="C28" i="7"/>
  <c r="D11" i="1" s="1"/>
  <c r="I11" i="1" s="1"/>
  <c r="B28" i="7"/>
  <c r="C11" i="1" s="1"/>
  <c r="H11" i="1" s="1"/>
  <c r="E4" i="7"/>
  <c r="E5" i="7" s="1"/>
  <c r="E6" i="7" s="1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D28" i="6"/>
  <c r="E10" i="1" s="1"/>
  <c r="K10" i="1" s="1"/>
  <c r="C28" i="6"/>
  <c r="D10" i="1" s="1"/>
  <c r="I10" i="1" s="1"/>
  <c r="B28" i="6"/>
  <c r="C10" i="1" s="1"/>
  <c r="H10" i="1" s="1"/>
  <c r="E4" i="6"/>
  <c r="E5" i="6" s="1"/>
  <c r="E6" i="6" s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D28" i="5"/>
  <c r="E9" i="1" s="1"/>
  <c r="K9" i="1" s="1"/>
  <c r="C28" i="5"/>
  <c r="D9" i="1" s="1"/>
  <c r="I9" i="1" s="1"/>
  <c r="B28" i="5"/>
  <c r="C9" i="1" s="1"/>
  <c r="H9" i="1" s="1"/>
  <c r="E4" i="5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B38" i="4"/>
  <c r="C7" i="1" s="1"/>
  <c r="H7" i="1" s="1"/>
  <c r="E4" i="4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D35" i="13"/>
  <c r="C35" i="13"/>
  <c r="D6" i="1" s="1"/>
  <c r="I6" i="1" s="1"/>
  <c r="B35" i="13"/>
  <c r="C6" i="1" s="1"/>
  <c r="H6" i="1" s="1"/>
  <c r="D28" i="3"/>
  <c r="E5" i="1" s="1"/>
  <c r="K5" i="1" s="1"/>
  <c r="C28" i="3"/>
  <c r="B28" i="3"/>
  <c r="C5" i="1" s="1"/>
  <c r="H5" i="1" s="1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F16" i="1"/>
  <c r="C53" i="2"/>
  <c r="D4" i="1" s="1"/>
  <c r="I4" i="1" s="1"/>
  <c r="D53" i="2"/>
  <c r="E4" i="1" s="1"/>
  <c r="K4" i="1" s="1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6" i="1" l="1"/>
  <c r="E19" i="3"/>
  <c r="E20" i="3" s="1"/>
  <c r="E21" i="3" s="1"/>
  <c r="E22" i="3" s="1"/>
  <c r="E23" i="3" s="1"/>
  <c r="E24" i="3" s="1"/>
  <c r="E25" i="3" s="1"/>
  <c r="E26" i="3" s="1"/>
  <c r="E27" i="3" s="1"/>
  <c r="I7" i="1"/>
  <c r="F7" i="1"/>
  <c r="D5" i="1"/>
  <c r="I5" i="1" s="1"/>
  <c r="I17" i="1" s="1"/>
  <c r="H17" i="1"/>
  <c r="C17" i="1"/>
  <c r="E4" i="13"/>
  <c r="E5" i="13" s="1"/>
  <c r="E6" i="13" s="1"/>
  <c r="E7" i="13" s="1"/>
  <c r="E8" i="13" s="1"/>
  <c r="E9" i="13" s="1"/>
  <c r="E10" i="13" s="1"/>
  <c r="E11" i="13" s="1"/>
  <c r="E12" i="13" s="1"/>
  <c r="E13" i="13" s="1"/>
  <c r="F15" i="1"/>
  <c r="F12" i="1"/>
  <c r="F13" i="1"/>
  <c r="F14" i="1"/>
  <c r="F11" i="1"/>
  <c r="F10" i="1"/>
  <c r="F9" i="1"/>
  <c r="F4" i="1"/>
  <c r="D17" i="1" l="1"/>
  <c r="K6" i="1"/>
  <c r="K17" i="1" s="1"/>
  <c r="F6" i="1"/>
  <c r="E17" i="1"/>
  <c r="F5" i="1"/>
  <c r="E14" i="13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F17" i="1"/>
</calcChain>
</file>

<file path=xl/comments1.xml><?xml version="1.0" encoding="utf-8"?>
<comments xmlns="http://schemas.openxmlformats.org/spreadsheetml/2006/main">
  <authors>
    <author>Rest Perk</author>
  </authors>
  <commentList>
    <comment ref="D5" authorId="0" shapeId="0">
      <text>
        <r>
          <rPr>
            <b/>
            <sz val="9"/>
            <color indexed="81"/>
            <rFont val="Tahoma"/>
            <charset val="1"/>
          </rPr>
          <t>Rest Perk:</t>
        </r>
        <r>
          <rPr>
            <sz val="9"/>
            <color indexed="81"/>
            <rFont val="Tahoma"/>
            <charset val="1"/>
          </rPr>
          <t xml:space="preserve">
remaining 2pcs</t>
        </r>
      </text>
    </comment>
    <comment ref="D6" authorId="0" shapeId="0">
      <text>
        <r>
          <rPr>
            <b/>
            <sz val="9"/>
            <color indexed="81"/>
            <rFont val="Tahoma"/>
            <charset val="1"/>
          </rPr>
          <t>Rest Perk:</t>
        </r>
        <r>
          <rPr>
            <sz val="9"/>
            <color indexed="81"/>
            <rFont val="Tahoma"/>
            <charset val="1"/>
          </rPr>
          <t xml:space="preserve">
IN STORE 18 PCS</t>
        </r>
      </text>
    </comment>
  </commentList>
</comments>
</file>

<file path=xl/comments2.xml><?xml version="1.0" encoding="utf-8"?>
<comments xmlns="http://schemas.openxmlformats.org/spreadsheetml/2006/main">
  <authors>
    <author>Rest Perk</author>
  </authors>
  <commentList>
    <comment ref="D5" authorId="0" shapeId="0">
      <text>
        <r>
          <rPr>
            <b/>
            <sz val="9"/>
            <color indexed="81"/>
            <rFont val="Tahoma"/>
            <charset val="1"/>
          </rPr>
          <t>Rest Perk:</t>
        </r>
        <r>
          <rPr>
            <sz val="9"/>
            <color indexed="81"/>
            <rFont val="Tahoma"/>
            <charset val="1"/>
          </rPr>
          <t xml:space="preserve">
IN STORE 10 PCS</t>
        </r>
      </text>
    </comment>
  </commentList>
</comments>
</file>

<file path=xl/comments3.xml><?xml version="1.0" encoding="utf-8"?>
<comments xmlns="http://schemas.openxmlformats.org/spreadsheetml/2006/main">
  <authors>
    <author>Rest Perk</author>
  </authors>
  <commentList>
    <comment ref="D5" authorId="0" shapeId="0">
      <text>
        <r>
          <rPr>
            <b/>
            <sz val="9"/>
            <color indexed="81"/>
            <rFont val="Tahoma"/>
            <charset val="1"/>
          </rPr>
          <t>Rest Perk:</t>
        </r>
        <r>
          <rPr>
            <sz val="9"/>
            <color indexed="81"/>
            <rFont val="Tahoma"/>
            <charset val="1"/>
          </rPr>
          <t xml:space="preserve">
IN STORE 8 PCS</t>
        </r>
      </text>
    </comment>
  </commentList>
</comments>
</file>

<file path=xl/comments4.xml><?xml version="1.0" encoding="utf-8"?>
<comments xmlns="http://schemas.openxmlformats.org/spreadsheetml/2006/main">
  <authors>
    <author>Rest Perk</author>
  </authors>
  <commentList>
    <comment ref="D6" authorId="0" shapeId="0">
      <text>
        <r>
          <rPr>
            <b/>
            <sz val="9"/>
            <color indexed="81"/>
            <rFont val="Tahoma"/>
            <charset val="1"/>
          </rPr>
          <t>Rest Perk:</t>
        </r>
        <r>
          <rPr>
            <sz val="9"/>
            <color indexed="81"/>
            <rFont val="Tahoma"/>
            <charset val="1"/>
          </rPr>
          <t xml:space="preserve">
IN STORE 3 PCS</t>
        </r>
      </text>
    </comment>
  </commentList>
</comments>
</file>

<file path=xl/comments5.xml><?xml version="1.0" encoding="utf-8"?>
<comments xmlns="http://schemas.openxmlformats.org/spreadsheetml/2006/main">
  <authors>
    <author>Rest Perk</author>
  </authors>
  <commentList>
    <comment ref="D5" authorId="0" shapeId="0">
      <text>
        <r>
          <rPr>
            <b/>
            <sz val="9"/>
            <color indexed="81"/>
            <rFont val="Tahoma"/>
            <charset val="1"/>
          </rPr>
          <t>Rest Perk:</t>
        </r>
        <r>
          <rPr>
            <sz val="9"/>
            <color indexed="81"/>
            <rFont val="Tahoma"/>
            <charset val="1"/>
          </rPr>
          <t xml:space="preserve">
IN STORE 0</t>
        </r>
      </text>
    </comment>
  </commentList>
</comments>
</file>

<file path=xl/comments6.xml><?xml version="1.0" encoding="utf-8"?>
<comments xmlns="http://schemas.openxmlformats.org/spreadsheetml/2006/main">
  <authors>
    <author>Rest Perk</author>
  </authors>
  <commentList>
    <comment ref="D5" authorId="0" shapeId="0">
      <text>
        <r>
          <rPr>
            <b/>
            <sz val="9"/>
            <color indexed="81"/>
            <rFont val="Tahoma"/>
            <charset val="1"/>
          </rPr>
          <t>Rest Perk:</t>
        </r>
        <r>
          <rPr>
            <sz val="9"/>
            <color indexed="81"/>
            <rFont val="Tahoma"/>
            <charset val="1"/>
          </rPr>
          <t xml:space="preserve">
IN STORE 0</t>
        </r>
      </text>
    </comment>
  </commentList>
</comments>
</file>

<file path=xl/sharedStrings.xml><?xml version="1.0" encoding="utf-8"?>
<sst xmlns="http://schemas.openxmlformats.org/spreadsheetml/2006/main" count="125" uniqueCount="41">
  <si>
    <t>TISSUES</t>
  </si>
  <si>
    <t>TRUST</t>
  </si>
  <si>
    <t>OPENING STOCK</t>
  </si>
  <si>
    <t>STOCK OUT</t>
  </si>
  <si>
    <t>BALANCE</t>
  </si>
  <si>
    <t>ITEMS IN STORE</t>
  </si>
  <si>
    <t>DATE</t>
  </si>
  <si>
    <t>WATER 1LT</t>
  </si>
  <si>
    <t>VASELINE</t>
  </si>
  <si>
    <t>TOOTHPASTE &amp; BRUSH</t>
  </si>
  <si>
    <t xml:space="preserve">REST PERK STOCKSHEET </t>
  </si>
  <si>
    <t>SODA 500ML</t>
  </si>
  <si>
    <t>PREDATOR 500ML</t>
  </si>
  <si>
    <t>PANADOL EXTRA</t>
  </si>
  <si>
    <t xml:space="preserve">MARA MOJA </t>
  </si>
  <si>
    <t>PURCHASES IN</t>
  </si>
  <si>
    <t>CLOSING BALANCE</t>
  </si>
  <si>
    <t>PURCHASE</t>
  </si>
  <si>
    <t xml:space="preserve">STOCK OUT </t>
  </si>
  <si>
    <t>VIM</t>
  </si>
  <si>
    <t>SAWA SOAP</t>
  </si>
  <si>
    <t>WATER 500ML</t>
  </si>
  <si>
    <t xml:space="preserve">TOTALS </t>
  </si>
  <si>
    <t>TOTALS</t>
  </si>
  <si>
    <t xml:space="preserve">UNIT COST </t>
  </si>
  <si>
    <t xml:space="preserve">   </t>
  </si>
  <si>
    <t xml:space="preserve">      </t>
  </si>
  <si>
    <t>UNIT PRICE</t>
  </si>
  <si>
    <t>WATER 500ML FOR THE ROOMS</t>
  </si>
  <si>
    <t>Za Chupa</t>
  </si>
  <si>
    <t>PURCHASED</t>
  </si>
  <si>
    <t>BALANCE IN STORE</t>
  </si>
  <si>
    <t>TOTAL STOCK 1 JAN</t>
  </si>
  <si>
    <t xml:space="preserve">BALANCE </t>
  </si>
  <si>
    <t>IN PCS NOT PAIR</t>
  </si>
  <si>
    <t>WATER 500ML FOR SALES</t>
  </si>
  <si>
    <t>14/1/2026</t>
  </si>
  <si>
    <t>14/1 2026</t>
  </si>
  <si>
    <t>16/1/2026</t>
  </si>
  <si>
    <t>16/01/2026</t>
  </si>
  <si>
    <t>17/01/2026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</si>
</sst>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17" fontId="1" fillId="0" borderId="0" xfId="0" applyNumberFormat="1" applyFont="1"/>
    <xf numFmtId="0" fontId="1" fillId="0" borderId="3" xfId="0" applyFont="1" applyBorder="1"/>
    <xf numFmtId="0" fontId="1" fillId="0" borderId="1" xfId="0" applyFont="1" applyFill="1" applyBorder="1"/>
    <xf numFmtId="0" fontId="0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1" fillId="2" borderId="5" xfId="0" applyFont="1" applyFill="1" applyBorder="1"/>
    <xf numFmtId="0" fontId="1" fillId="3" borderId="6" xfId="0" applyFont="1" applyFill="1" applyBorder="1"/>
    <xf numFmtId="0" fontId="1" fillId="4" borderId="3" xfId="0" applyFont="1" applyFill="1" applyBorder="1"/>
    <xf numFmtId="14" fontId="0" fillId="0" borderId="1" xfId="0" applyNumberFormat="1" applyBorder="1"/>
    <xf numFmtId="0" fontId="1" fillId="0" borderId="0" xfId="0" applyFont="1" applyBorder="1"/>
    <xf numFmtId="0" fontId="0" fillId="0" borderId="8" xfId="0" applyBorder="1"/>
    <xf numFmtId="0" fontId="0" fillId="5" borderId="1" xfId="0" applyFont="1" applyFill="1" applyBorder="1"/>
    <xf numFmtId="0" fontId="1" fillId="5" borderId="1" xfId="0" applyFont="1" applyFill="1" applyBorder="1"/>
    <xf numFmtId="14" fontId="0" fillId="0" borderId="16" xfId="0" applyNumberForma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" xfId="0" applyFont="1" applyBorder="1"/>
    <xf numFmtId="0" fontId="1" fillId="0" borderId="10" xfId="0" applyFont="1" applyBorder="1"/>
    <xf numFmtId="0" fontId="1" fillId="0" borderId="11" xfId="0" applyFont="1" applyFill="1" applyBorder="1"/>
    <xf numFmtId="0" fontId="1" fillId="0" borderId="11" xfId="0" applyFont="1" applyBorder="1"/>
    <xf numFmtId="0" fontId="1" fillId="0" borderId="12" xfId="0" applyFont="1" applyBorder="1"/>
    <xf numFmtId="0" fontId="1" fillId="0" borderId="19" xfId="0" applyFont="1" applyBorder="1"/>
    <xf numFmtId="0" fontId="0" fillId="0" borderId="20" xfId="0" applyBorder="1"/>
    <xf numFmtId="0" fontId="0" fillId="0" borderId="7" xfId="0" applyBorder="1"/>
    <xf numFmtId="0" fontId="0" fillId="0" borderId="21" xfId="0" applyBorder="1"/>
    <xf numFmtId="0" fontId="1" fillId="0" borderId="9" xfId="0" applyFont="1" applyBorder="1"/>
    <xf numFmtId="0" fontId="0" fillId="0" borderId="26" xfId="0" applyBorder="1"/>
    <xf numFmtId="0" fontId="1" fillId="5" borderId="10" xfId="0" applyFont="1" applyFill="1" applyBorder="1" applyAlignment="1">
      <alignment horizontal="right"/>
    </xf>
    <xf numFmtId="0" fontId="1" fillId="5" borderId="11" xfId="0" applyFont="1" applyFill="1" applyBorder="1"/>
    <xf numFmtId="0" fontId="1" fillId="5" borderId="12" xfId="0" applyFont="1" applyFill="1" applyBorder="1"/>
    <xf numFmtId="0" fontId="1" fillId="5" borderId="25" xfId="0" applyFont="1" applyFill="1" applyBorder="1"/>
    <xf numFmtId="0" fontId="1" fillId="5" borderId="23" xfId="0" applyFont="1" applyFill="1" applyBorder="1"/>
    <xf numFmtId="0" fontId="1" fillId="5" borderId="24" xfId="0" applyFont="1" applyFill="1" applyBorder="1"/>
    <xf numFmtId="0" fontId="1" fillId="5" borderId="1" xfId="0" applyFont="1" applyFill="1" applyBorder="1" applyAlignment="1">
      <alignment horizontal="right"/>
    </xf>
    <xf numFmtId="0" fontId="0" fillId="5" borderId="25" xfId="0" applyFill="1" applyBorder="1"/>
    <xf numFmtId="0" fontId="0" fillId="5" borderId="23" xfId="0" applyFill="1" applyBorder="1"/>
    <xf numFmtId="0" fontId="0" fillId="5" borderId="24" xfId="0" applyFill="1" applyBorder="1"/>
    <xf numFmtId="0" fontId="0" fillId="5" borderId="13" xfId="0" applyFill="1" applyBorder="1" applyAlignment="1">
      <alignment horizontal="right"/>
    </xf>
    <xf numFmtId="0" fontId="0" fillId="5" borderId="14" xfId="0" applyFill="1" applyBorder="1"/>
    <xf numFmtId="0" fontId="0" fillId="5" borderId="15" xfId="0" applyFill="1" applyBorder="1"/>
    <xf numFmtId="0" fontId="0" fillId="5" borderId="22" xfId="0" applyFill="1" applyBorder="1"/>
    <xf numFmtId="0" fontId="0" fillId="5" borderId="1" xfId="0" applyFill="1" applyBorder="1"/>
    <xf numFmtId="0" fontId="1" fillId="5" borderId="2" xfId="0" applyFont="1" applyFill="1" applyBorder="1"/>
    <xf numFmtId="0" fontId="0" fillId="5" borderId="1" xfId="0" applyFill="1" applyBorder="1" applyAlignment="1">
      <alignment horizontal="right"/>
    </xf>
    <xf numFmtId="43" fontId="1" fillId="0" borderId="0" xfId="1" applyFont="1"/>
    <xf numFmtId="43" fontId="0" fillId="0" borderId="0" xfId="1" applyFont="1"/>
    <xf numFmtId="164" fontId="1" fillId="0" borderId="0" xfId="1" applyNumberFormat="1" applyFont="1"/>
    <xf numFmtId="164" fontId="0" fillId="0" borderId="0" xfId="1" applyNumberFormat="1" applyFont="1"/>
    <xf numFmtId="0" fontId="3" fillId="0" borderId="1" xfId="0" applyFont="1" applyBorder="1"/>
    <xf numFmtId="0" fontId="4" fillId="0" borderId="1" xfId="0" applyFont="1" applyBorder="1"/>
    <xf numFmtId="0" fontId="4" fillId="5" borderId="1" xfId="0" applyFont="1" applyFill="1" applyBorder="1"/>
    <xf numFmtId="0" fontId="4" fillId="0" borderId="8" xfId="0" applyFont="1" applyBorder="1"/>
    <xf numFmtId="0" fontId="4" fillId="5" borderId="8" xfId="0" applyFont="1" applyFill="1" applyBorder="1"/>
    <xf numFmtId="0" fontId="3" fillId="0" borderId="8" xfId="0" applyFont="1" applyBorder="1"/>
    <xf numFmtId="0" fontId="1" fillId="6" borderId="9" xfId="0" applyFont="1" applyFill="1" applyBorder="1"/>
    <xf numFmtId="0" fontId="1" fillId="6" borderId="10" xfId="0" applyFont="1" applyFill="1" applyBorder="1"/>
    <xf numFmtId="0" fontId="1" fillId="6" borderId="11" xfId="0" applyFont="1" applyFill="1" applyBorder="1"/>
    <xf numFmtId="0" fontId="1" fillId="6" borderId="12" xfId="0" applyFont="1" applyFill="1" applyBorder="1"/>
    <xf numFmtId="14" fontId="0" fillId="7" borderId="1" xfId="0" applyNumberFormat="1" applyFill="1" applyBorder="1"/>
    <xf numFmtId="164" fontId="0" fillId="0" borderId="10" xfId="1" applyNumberFormat="1" applyFont="1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164" fontId="0" fillId="6" borderId="10" xfId="1" applyNumberFormat="1" applyFont="1" applyFill="1" applyBorder="1"/>
    <xf numFmtId="164" fontId="0" fillId="6" borderId="11" xfId="1" applyNumberFormat="1" applyFont="1" applyFill="1" applyBorder="1"/>
    <xf numFmtId="164" fontId="0" fillId="6" borderId="12" xfId="1" applyNumberFormat="1" applyFont="1" applyFill="1" applyBorder="1"/>
    <xf numFmtId="164" fontId="0" fillId="8" borderId="2" xfId="1" applyNumberFormat="1" applyFont="1" applyFill="1" applyBorder="1"/>
    <xf numFmtId="164" fontId="0" fillId="8" borderId="1" xfId="1" applyNumberFormat="1" applyFont="1" applyFill="1" applyBorder="1"/>
    <xf numFmtId="164" fontId="0" fillId="8" borderId="8" xfId="1" applyNumberFormat="1" applyFont="1" applyFill="1" applyBorder="1"/>
    <xf numFmtId="164" fontId="0" fillId="9" borderId="2" xfId="1" applyNumberFormat="1" applyFont="1" applyFill="1" applyBorder="1"/>
    <xf numFmtId="164" fontId="0" fillId="9" borderId="1" xfId="1" applyNumberFormat="1" applyFont="1" applyFill="1" applyBorder="1"/>
    <xf numFmtId="164" fontId="0" fillId="9" borderId="8" xfId="1" applyNumberFormat="1" applyFont="1" applyFill="1" applyBorder="1"/>
    <xf numFmtId="164" fontId="0" fillId="10" borderId="2" xfId="1" applyNumberFormat="1" applyFont="1" applyFill="1" applyBorder="1"/>
    <xf numFmtId="0" fontId="0" fillId="0" borderId="0" xfId="0" applyAlignment="1">
      <alignment horizontal="left"/>
    </xf>
    <xf numFmtId="0" fontId="1" fillId="0" borderId="10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1" fillId="4" borderId="11" xfId="0" applyFont="1" applyFill="1" applyBorder="1"/>
    <xf numFmtId="0" fontId="1" fillId="2" borderId="11" xfId="0" applyFont="1" applyFill="1" applyBorder="1"/>
    <xf numFmtId="164" fontId="0" fillId="6" borderId="19" xfId="1" applyNumberFormat="1" applyFont="1" applyFill="1" applyBorder="1"/>
    <xf numFmtId="43" fontId="0" fillId="0" borderId="27" xfId="1" applyFont="1" applyBorder="1"/>
    <xf numFmtId="0" fontId="1" fillId="4" borderId="1" xfId="0" applyFont="1" applyFill="1" applyBorder="1"/>
    <xf numFmtId="0" fontId="0" fillId="4" borderId="1" xfId="0" applyFont="1" applyFill="1" applyBorder="1"/>
    <xf numFmtId="164" fontId="0" fillId="4" borderId="1" xfId="0" applyNumberFormat="1" applyFont="1" applyFill="1" applyBorder="1"/>
    <xf numFmtId="43" fontId="0" fillId="4" borderId="0" xfId="1" applyFont="1" applyFill="1"/>
    <xf numFmtId="164" fontId="0" fillId="4" borderId="1" xfId="1" applyNumberFormat="1" applyFont="1" applyFill="1" applyBorder="1"/>
    <xf numFmtId="164" fontId="0" fillId="4" borderId="2" xfId="1" applyNumberFormat="1" applyFont="1" applyFill="1" applyBorder="1"/>
    <xf numFmtId="0" fontId="0" fillId="4" borderId="0" xfId="0" applyFill="1"/>
    <xf numFmtId="0" fontId="0" fillId="7" borderId="1" xfId="0" applyFill="1" applyBorder="1"/>
    <xf numFmtId="0" fontId="1" fillId="5" borderId="13" xfId="0" applyFont="1" applyFill="1" applyBorder="1" applyAlignment="1">
      <alignment horizontal="right"/>
    </xf>
    <xf numFmtId="0" fontId="1" fillId="5" borderId="14" xfId="0" applyFont="1" applyFill="1" applyBorder="1"/>
    <xf numFmtId="0" fontId="1" fillId="5" borderId="15" xfId="0" applyFont="1" applyFill="1" applyBorder="1"/>
    <xf numFmtId="0" fontId="0" fillId="0" borderId="2" xfId="0" applyFont="1" applyFill="1" applyBorder="1"/>
    <xf numFmtId="0" fontId="0" fillId="0" borderId="2" xfId="0" applyFill="1" applyBorder="1"/>
    <xf numFmtId="0" fontId="0" fillId="0" borderId="20" xfId="0" applyFill="1" applyBorder="1"/>
    <xf numFmtId="14" fontId="0" fillId="0" borderId="1" xfId="0" applyNumberFormat="1" applyFill="1" applyBorder="1" applyAlignment="1">
      <alignment horizontal="left"/>
    </xf>
    <xf numFmtId="0" fontId="0" fillId="0" borderId="1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8" xfId="0" applyFill="1" applyBorder="1"/>
    <xf numFmtId="0" fontId="0" fillId="0" borderId="26" xfId="0" applyFill="1" applyBorder="1"/>
    <xf numFmtId="14" fontId="5" fillId="0" borderId="1" xfId="0" applyNumberFormat="1" applyFont="1" applyFill="1" applyBorder="1"/>
    <xf numFmtId="0" fontId="5" fillId="0" borderId="1" xfId="0" applyFont="1" applyFill="1" applyBorder="1"/>
    <xf numFmtId="0" fontId="5" fillId="0" borderId="7" xfId="0" applyFont="1" applyFill="1" applyBorder="1"/>
    <xf numFmtId="14" fontId="0" fillId="0" borderId="1" xfId="0" applyNumberFormat="1" applyFill="1" applyBorder="1"/>
    <xf numFmtId="0" fontId="5" fillId="0" borderId="23" xfId="0" applyFont="1" applyFill="1" applyBorder="1"/>
    <xf numFmtId="14" fontId="6" fillId="0" borderId="1" xfId="0" applyNumberFormat="1" applyFont="1" applyBorder="1"/>
    <xf numFmtId="0" fontId="1" fillId="4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99FFCC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est%20Perk/Desktop/MASERA%20GUEST%20HSE%20DOCS/Masera%201/NEW/ROOM%20ANALYSIS/ROOMS%20ANALYSI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.ANALYSIS JANUARY"/>
    </sheetNames>
    <sheetDataSet>
      <sheetData sheetId="0">
        <row r="33">
          <cell r="E3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opLeftCell="B1" workbookViewId="0">
      <selection activeCell="E8" sqref="E8"/>
    </sheetView>
  </sheetViews>
  <sheetFormatPr defaultRowHeight="15" x14ac:dyDescent="0.25"/>
  <cols>
    <col min="1" max="1" width="12.7109375" style="1" customWidth="1"/>
    <col min="2" max="2" width="29.140625" style="1" bestFit="1" customWidth="1"/>
    <col min="3" max="6" width="19.5703125" style="1" customWidth="1"/>
    <col min="7" max="7" width="11.7109375" style="52" customWidth="1"/>
    <col min="8" max="11" width="15.42578125" style="54" customWidth="1"/>
  </cols>
  <sheetData>
    <row r="1" spans="1:11" s="1" customFormat="1" x14ac:dyDescent="0.25">
      <c r="B1" s="1" t="s">
        <v>10</v>
      </c>
      <c r="G1" s="51"/>
      <c r="H1" s="53"/>
      <c r="I1" s="53"/>
      <c r="J1" s="53"/>
      <c r="K1" s="53"/>
    </row>
    <row r="2" spans="1:11" ht="15.75" thickBot="1" x14ac:dyDescent="0.3">
      <c r="B2" s="5">
        <v>46023</v>
      </c>
    </row>
    <row r="3" spans="1:11" ht="15.75" thickBot="1" x14ac:dyDescent="0.3">
      <c r="A3" s="6" t="s">
        <v>6</v>
      </c>
      <c r="B3" s="9" t="s">
        <v>5</v>
      </c>
      <c r="C3" s="10" t="s">
        <v>2</v>
      </c>
      <c r="D3" s="11" t="s">
        <v>15</v>
      </c>
      <c r="E3" s="12" t="s">
        <v>3</v>
      </c>
      <c r="F3" s="13" t="s">
        <v>16</v>
      </c>
      <c r="G3" s="52" t="s">
        <v>24</v>
      </c>
      <c r="H3" s="66" t="s">
        <v>2</v>
      </c>
      <c r="I3" s="67" t="s">
        <v>15</v>
      </c>
      <c r="J3" s="88" t="s">
        <v>27</v>
      </c>
      <c r="K3" s="68" t="s">
        <v>3</v>
      </c>
    </row>
    <row r="4" spans="1:11" x14ac:dyDescent="0.25">
      <c r="A4" s="115">
        <v>46023</v>
      </c>
      <c r="B4" s="55" t="s">
        <v>0</v>
      </c>
      <c r="C4" s="56">
        <f>TISSUES!B53</f>
        <v>218</v>
      </c>
      <c r="D4" s="56">
        <f>TISSUES!C53</f>
        <v>0</v>
      </c>
      <c r="E4" s="56">
        <f>TISSUES!D53</f>
        <v>138</v>
      </c>
      <c r="F4" s="57">
        <f t="shared" ref="F4:F16" si="0">C4+D4-E4</f>
        <v>80</v>
      </c>
      <c r="G4" s="52">
        <v>20</v>
      </c>
      <c r="H4" s="72">
        <f>C4*G4</f>
        <v>4360</v>
      </c>
      <c r="I4" s="75">
        <f>G4*D4</f>
        <v>0</v>
      </c>
      <c r="J4" s="75">
        <v>0</v>
      </c>
      <c r="K4" s="78">
        <f>E4*J4</f>
        <v>0</v>
      </c>
    </row>
    <row r="5" spans="1:11" x14ac:dyDescent="0.25">
      <c r="A5" s="115">
        <v>46023</v>
      </c>
      <c r="B5" s="55" t="s">
        <v>20</v>
      </c>
      <c r="C5" s="56">
        <f>'SAWA SOAP'!B28</f>
        <v>269</v>
      </c>
      <c r="D5" s="56">
        <f>'SAWA SOAP'!C28</f>
        <v>432</v>
      </c>
      <c r="E5" s="56">
        <f>'SAWA SOAP'!D28</f>
        <v>269</v>
      </c>
      <c r="F5" s="57">
        <f t="shared" si="0"/>
        <v>432</v>
      </c>
      <c r="G5" s="52">
        <f>885/144</f>
        <v>6.145833333333333</v>
      </c>
      <c r="H5" s="73">
        <f t="shared" ref="H5:H16" si="1">G5*C5</f>
        <v>1653.2291666666665</v>
      </c>
      <c r="I5" s="76">
        <f t="shared" ref="I5:I16" si="2">G5*D5</f>
        <v>2655</v>
      </c>
      <c r="J5" s="76">
        <v>0</v>
      </c>
      <c r="K5" s="78">
        <f t="shared" ref="K5:K16" si="3">E5*J5</f>
        <v>0</v>
      </c>
    </row>
    <row r="6" spans="1:11" x14ac:dyDescent="0.25">
      <c r="A6" s="115">
        <v>46023</v>
      </c>
      <c r="B6" s="4" t="s">
        <v>7</v>
      </c>
      <c r="C6" s="8">
        <f>'WATER 1LT'!B35</f>
        <v>42</v>
      </c>
      <c r="D6" s="8">
        <f>'WATER 1LT'!C35</f>
        <v>0</v>
      </c>
      <c r="E6" s="8">
        <f>'WATER 1LT'!D35</f>
        <v>30</v>
      </c>
      <c r="F6" s="17">
        <f t="shared" si="0"/>
        <v>12</v>
      </c>
      <c r="G6" s="52">
        <f>400/12</f>
        <v>33.333333333333336</v>
      </c>
      <c r="H6" s="73">
        <f t="shared" si="1"/>
        <v>1400</v>
      </c>
      <c r="I6" s="76">
        <f t="shared" si="2"/>
        <v>0</v>
      </c>
      <c r="J6" s="76">
        <v>100</v>
      </c>
      <c r="K6" s="78">
        <f>J6*E6</f>
        <v>3000</v>
      </c>
    </row>
    <row r="7" spans="1:11" s="95" customFormat="1" x14ac:dyDescent="0.25">
      <c r="A7" s="115">
        <v>46023</v>
      </c>
      <c r="B7" s="89" t="s">
        <v>35</v>
      </c>
      <c r="C7" s="90">
        <f>'WATER 500ML'!B38</f>
        <v>88</v>
      </c>
      <c r="D7" s="90">
        <f>'WATER 500ML'!C38</f>
        <v>48</v>
      </c>
      <c r="E7" s="90">
        <f>'WATER 500ML'!D38-STOCKSHEET!E8</f>
        <v>64</v>
      </c>
      <c r="F7" s="91">
        <f>C7+D7-E7-E8</f>
        <v>72</v>
      </c>
      <c r="G7" s="92">
        <f>400/24</f>
        <v>16.666666666666668</v>
      </c>
      <c r="H7" s="93">
        <f>G7*C7</f>
        <v>1466.6666666666667</v>
      </c>
      <c r="I7" s="93">
        <f>G7*D7</f>
        <v>800</v>
      </c>
      <c r="J7" s="93">
        <v>50</v>
      </c>
      <c r="K7" s="94">
        <f>E7*J7</f>
        <v>3200</v>
      </c>
    </row>
    <row r="8" spans="1:11" s="95" customFormat="1" x14ac:dyDescent="0.25">
      <c r="A8" s="115">
        <v>46023</v>
      </c>
      <c r="B8" s="89" t="s">
        <v>28</v>
      </c>
      <c r="C8" s="90">
        <v>0</v>
      </c>
      <c r="D8" s="90">
        <v>0</v>
      </c>
      <c r="E8" s="90">
        <f>'[1]R.ANALYSIS JANUARY'!$E$33</f>
        <v>0</v>
      </c>
      <c r="F8" s="90">
        <v>0</v>
      </c>
      <c r="G8" s="92">
        <v>16.666666666666668</v>
      </c>
      <c r="H8" s="93">
        <f>G8*C8</f>
        <v>0</v>
      </c>
      <c r="I8" s="93">
        <f t="shared" ref="I8" si="4">G8*D8</f>
        <v>0</v>
      </c>
      <c r="J8" s="93">
        <v>0</v>
      </c>
      <c r="K8" s="94">
        <f t="shared" si="3"/>
        <v>0</v>
      </c>
    </row>
    <row r="9" spans="1:11" x14ac:dyDescent="0.25">
      <c r="A9" s="115">
        <v>46023</v>
      </c>
      <c r="B9" s="4" t="s">
        <v>1</v>
      </c>
      <c r="C9" s="8">
        <f>TRUST!B28</f>
        <v>52</v>
      </c>
      <c r="D9" s="8">
        <f>TRUST!C28</f>
        <v>48</v>
      </c>
      <c r="E9" s="8">
        <f>TRUST!D28</f>
        <v>28</v>
      </c>
      <c r="F9" s="17">
        <f t="shared" si="0"/>
        <v>72</v>
      </c>
      <c r="G9" s="52">
        <f>590/24</f>
        <v>24.583333333333332</v>
      </c>
      <c r="H9" s="73">
        <f t="shared" si="1"/>
        <v>1278.3333333333333</v>
      </c>
      <c r="I9" s="76">
        <f t="shared" si="2"/>
        <v>1180</v>
      </c>
      <c r="J9" s="76">
        <v>100</v>
      </c>
      <c r="K9" s="78">
        <f t="shared" si="3"/>
        <v>2800</v>
      </c>
    </row>
    <row r="10" spans="1:11" x14ac:dyDescent="0.25">
      <c r="A10" s="115">
        <v>46023</v>
      </c>
      <c r="B10" s="7" t="s">
        <v>8</v>
      </c>
      <c r="C10" s="8">
        <f>VASELINE!B28</f>
        <v>16</v>
      </c>
      <c r="D10" s="8">
        <f>VASELINE!C28</f>
        <v>24</v>
      </c>
      <c r="E10" s="8">
        <f>VASELINE!D28</f>
        <v>16</v>
      </c>
      <c r="F10" s="17">
        <f t="shared" si="0"/>
        <v>24</v>
      </c>
      <c r="G10" s="52">
        <f>460/12</f>
        <v>38.333333333333336</v>
      </c>
      <c r="H10" s="73">
        <f t="shared" si="1"/>
        <v>613.33333333333337</v>
      </c>
      <c r="I10" s="76">
        <f t="shared" si="2"/>
        <v>920</v>
      </c>
      <c r="J10" s="76">
        <v>50</v>
      </c>
      <c r="K10" s="78">
        <f t="shared" si="3"/>
        <v>800</v>
      </c>
    </row>
    <row r="11" spans="1:11" x14ac:dyDescent="0.25">
      <c r="A11" s="115">
        <v>46023</v>
      </c>
      <c r="B11" s="7" t="s">
        <v>9</v>
      </c>
      <c r="C11" s="8">
        <f>'TOOTHPASTE &amp; BRUSH'!B28</f>
        <v>137</v>
      </c>
      <c r="D11" s="8">
        <f>'TOOTHPASTE &amp; BRUSH'!C28</f>
        <v>0</v>
      </c>
      <c r="E11" s="8">
        <f>'TOOTHPASTE &amp; BRUSH'!D28</f>
        <v>23</v>
      </c>
      <c r="F11" s="17">
        <f t="shared" si="0"/>
        <v>114</v>
      </c>
      <c r="G11" s="52">
        <v>20</v>
      </c>
      <c r="H11" s="73">
        <f t="shared" si="1"/>
        <v>2740</v>
      </c>
      <c r="I11" s="76">
        <f t="shared" si="2"/>
        <v>0</v>
      </c>
      <c r="J11" s="76">
        <v>50</v>
      </c>
      <c r="K11" s="78">
        <f t="shared" si="3"/>
        <v>1150</v>
      </c>
    </row>
    <row r="12" spans="1:11" x14ac:dyDescent="0.25">
      <c r="A12" s="115">
        <v>46023</v>
      </c>
      <c r="B12" s="4" t="s">
        <v>11</v>
      </c>
      <c r="C12" s="8">
        <f>'SODA 500ML'!B28</f>
        <v>43</v>
      </c>
      <c r="D12" s="8">
        <f>'SODA 500ML'!C28</f>
        <v>0</v>
      </c>
      <c r="E12" s="8">
        <f>'SODA 500ML'!D28</f>
        <v>19</v>
      </c>
      <c r="F12" s="17">
        <f t="shared" si="0"/>
        <v>24</v>
      </c>
      <c r="G12" s="52">
        <f>1475/24</f>
        <v>61.458333333333336</v>
      </c>
      <c r="H12" s="73">
        <f t="shared" si="1"/>
        <v>2642.7083333333335</v>
      </c>
      <c r="I12" s="76">
        <f t="shared" si="2"/>
        <v>0</v>
      </c>
      <c r="J12" s="76">
        <v>100</v>
      </c>
      <c r="K12" s="78">
        <f t="shared" si="3"/>
        <v>1900</v>
      </c>
    </row>
    <row r="13" spans="1:11" x14ac:dyDescent="0.25">
      <c r="A13" s="115">
        <v>46023</v>
      </c>
      <c r="B13" s="7" t="s">
        <v>12</v>
      </c>
      <c r="C13" s="8">
        <f>'PREDATOR 500ML'!B28</f>
        <v>11</v>
      </c>
      <c r="D13" s="8">
        <f>'PREDATOR 500ML'!C28</f>
        <v>0</v>
      </c>
      <c r="E13" s="8">
        <f>'PREDATOR 500ML'!D28</f>
        <v>11</v>
      </c>
      <c r="F13" s="17">
        <f t="shared" si="0"/>
        <v>0</v>
      </c>
      <c r="G13" s="52">
        <f>650/12</f>
        <v>54.166666666666664</v>
      </c>
      <c r="H13" s="73">
        <f t="shared" si="1"/>
        <v>595.83333333333326</v>
      </c>
      <c r="I13" s="76">
        <f t="shared" si="2"/>
        <v>0</v>
      </c>
      <c r="J13" s="76">
        <v>100</v>
      </c>
      <c r="K13" s="78">
        <f t="shared" si="3"/>
        <v>1100</v>
      </c>
    </row>
    <row r="14" spans="1:11" x14ac:dyDescent="0.25">
      <c r="A14" s="115">
        <v>46023</v>
      </c>
      <c r="B14" s="4" t="s">
        <v>13</v>
      </c>
      <c r="C14" s="8">
        <f>'PANADOL EXTRA'!B28</f>
        <v>120</v>
      </c>
      <c r="D14" s="8">
        <f>'PANADOL EXTRA'!C28</f>
        <v>0</v>
      </c>
      <c r="E14" s="8">
        <f>'PANADOL EXTRA'!D28</f>
        <v>20</v>
      </c>
      <c r="F14" s="17">
        <f t="shared" si="0"/>
        <v>100</v>
      </c>
      <c r="G14" s="52">
        <f>550/100</f>
        <v>5.5</v>
      </c>
      <c r="H14" s="73">
        <f t="shared" si="1"/>
        <v>660</v>
      </c>
      <c r="I14" s="76">
        <f t="shared" si="2"/>
        <v>0</v>
      </c>
      <c r="J14" s="76">
        <v>30</v>
      </c>
      <c r="K14" s="78">
        <f>(E14/2)*J14</f>
        <v>300</v>
      </c>
    </row>
    <row r="15" spans="1:11" x14ac:dyDescent="0.25">
      <c r="A15" s="115">
        <v>46023</v>
      </c>
      <c r="B15" s="4" t="s">
        <v>14</v>
      </c>
      <c r="C15" s="8">
        <f>'MARA MOJA '!B28</f>
        <v>118</v>
      </c>
      <c r="D15" s="8">
        <f>'MARA MOJA '!C28</f>
        <v>0</v>
      </c>
      <c r="E15" s="8">
        <f>'MARA MOJA '!D28</f>
        <v>18</v>
      </c>
      <c r="F15" s="17">
        <f t="shared" si="0"/>
        <v>100</v>
      </c>
      <c r="G15" s="52">
        <f>355/100</f>
        <v>3.55</v>
      </c>
      <c r="H15" s="73">
        <f t="shared" si="1"/>
        <v>418.9</v>
      </c>
      <c r="I15" s="76">
        <f t="shared" si="2"/>
        <v>0</v>
      </c>
      <c r="J15" s="76">
        <v>20</v>
      </c>
      <c r="K15" s="78">
        <f>(E15/2)*J15</f>
        <v>180</v>
      </c>
    </row>
    <row r="16" spans="1:11" ht="15.75" thickBot="1" x14ac:dyDescent="0.3">
      <c r="A16" s="115">
        <v>46023</v>
      </c>
      <c r="B16" s="60" t="s">
        <v>19</v>
      </c>
      <c r="C16" s="58">
        <f>'VIM 500GM'!B4</f>
        <v>13</v>
      </c>
      <c r="D16" s="58">
        <f>'VIM 500GM'!C28</f>
        <v>0</v>
      </c>
      <c r="E16" s="58">
        <f>'VIM 500GM'!D28</f>
        <v>1</v>
      </c>
      <c r="F16" s="59">
        <f t="shared" si="0"/>
        <v>12</v>
      </c>
      <c r="G16" s="52">
        <f>2270/24</f>
        <v>94.583333333333329</v>
      </c>
      <c r="H16" s="74">
        <f t="shared" si="1"/>
        <v>1229.5833333333333</v>
      </c>
      <c r="I16" s="77">
        <f t="shared" si="2"/>
        <v>0</v>
      </c>
      <c r="J16" s="77">
        <v>0</v>
      </c>
      <c r="K16" s="78">
        <f t="shared" si="3"/>
        <v>0</v>
      </c>
    </row>
    <row r="17" spans="2:11" ht="15.75" thickBot="1" x14ac:dyDescent="0.3">
      <c r="B17" s="61" t="s">
        <v>23</v>
      </c>
      <c r="C17" s="62">
        <f>SUM(C4:C16)</f>
        <v>1127</v>
      </c>
      <c r="D17" s="63">
        <f>SUM(D4:D16)</f>
        <v>552</v>
      </c>
      <c r="E17" s="63">
        <f>SUM(E4:E16)</f>
        <v>637</v>
      </c>
      <c r="F17" s="64">
        <f>SUM(F4:F16)</f>
        <v>1042</v>
      </c>
      <c r="H17" s="69">
        <f>SUM(H4:H16)</f>
        <v>19058.587500000001</v>
      </c>
      <c r="I17" s="70">
        <f>SUM(I4:I16)</f>
        <v>5555</v>
      </c>
      <c r="J17" s="87"/>
      <c r="K17" s="71">
        <f>SUM(K4:K16)</f>
        <v>14430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53"/>
  <sheetViews>
    <sheetView workbookViewId="0">
      <selection activeCell="I13" sqref="I13"/>
    </sheetView>
  </sheetViews>
  <sheetFormatPr defaultRowHeight="15" x14ac:dyDescent="0.25"/>
  <cols>
    <col min="1" max="4" width="18.5703125" customWidth="1"/>
    <col min="5" max="5" width="18.5703125" style="1" customWidth="1"/>
    <col min="7" max="7" width="11.5703125" bestFit="1" customWidth="1"/>
  </cols>
  <sheetData>
    <row r="2" spans="1:7" ht="15.75" thickBot="1" x14ac:dyDescent="0.3">
      <c r="B2" s="1" t="s">
        <v>2</v>
      </c>
      <c r="C2" s="1"/>
      <c r="G2" s="1"/>
    </row>
    <row r="3" spans="1:7" ht="15.75" thickBot="1" x14ac:dyDescent="0.3">
      <c r="A3" s="24" t="s">
        <v>6</v>
      </c>
      <c r="B3" s="26" t="s">
        <v>32</v>
      </c>
      <c r="C3" s="26" t="s">
        <v>30</v>
      </c>
      <c r="D3" s="26" t="s">
        <v>18</v>
      </c>
      <c r="E3" s="27" t="s">
        <v>31</v>
      </c>
    </row>
    <row r="4" spans="1:7" x14ac:dyDescent="0.25">
      <c r="A4" s="115">
        <v>46023</v>
      </c>
      <c r="B4" s="3">
        <f>40+18+160</f>
        <v>218</v>
      </c>
      <c r="C4" s="3"/>
      <c r="D4" s="29">
        <f>40+18</f>
        <v>58</v>
      </c>
      <c r="E4" s="37">
        <f>B4+C4-D4</f>
        <v>160</v>
      </c>
    </row>
    <row r="5" spans="1:7" x14ac:dyDescent="0.25">
      <c r="A5" s="5">
        <v>46296</v>
      </c>
      <c r="B5" s="2"/>
      <c r="C5" s="2"/>
      <c r="D5" s="30">
        <v>40</v>
      </c>
      <c r="E5" s="38">
        <f>E4+B5+C5-D5</f>
        <v>120</v>
      </c>
    </row>
    <row r="6" spans="1:7" x14ac:dyDescent="0.25">
      <c r="A6" s="14" t="s">
        <v>37</v>
      </c>
      <c r="B6" s="2"/>
      <c r="C6" s="2"/>
      <c r="D6" s="30">
        <v>40</v>
      </c>
      <c r="E6" s="38">
        <f t="shared" ref="E6:E33" si="0">E5+B6+C6-D6</f>
        <v>80</v>
      </c>
    </row>
    <row r="7" spans="1:7" x14ac:dyDescent="0.25">
      <c r="A7" s="14"/>
      <c r="B7" s="2"/>
      <c r="C7" s="2"/>
      <c r="D7" s="30"/>
      <c r="E7" s="38">
        <f t="shared" si="0"/>
        <v>80</v>
      </c>
    </row>
    <row r="8" spans="1:7" x14ac:dyDescent="0.25">
      <c r="A8" s="14"/>
      <c r="B8" s="2"/>
      <c r="C8" s="2"/>
      <c r="D8" s="30"/>
      <c r="E8" s="38">
        <f t="shared" si="0"/>
        <v>80</v>
      </c>
    </row>
    <row r="9" spans="1:7" x14ac:dyDescent="0.25">
      <c r="A9" s="2"/>
      <c r="B9" s="2"/>
      <c r="C9" s="2"/>
      <c r="D9" s="30"/>
      <c r="E9" s="38">
        <f t="shared" si="0"/>
        <v>80</v>
      </c>
    </row>
    <row r="10" spans="1:7" x14ac:dyDescent="0.25">
      <c r="A10" s="2"/>
      <c r="B10" s="2"/>
      <c r="C10" s="2"/>
      <c r="D10" s="30"/>
      <c r="E10" s="38">
        <f t="shared" si="0"/>
        <v>80</v>
      </c>
    </row>
    <row r="11" spans="1:7" x14ac:dyDescent="0.25">
      <c r="A11" s="14"/>
      <c r="B11" s="2"/>
      <c r="C11" s="2"/>
      <c r="D11" s="30"/>
      <c r="E11" s="38">
        <f t="shared" si="0"/>
        <v>80</v>
      </c>
    </row>
    <row r="12" spans="1:7" x14ac:dyDescent="0.25">
      <c r="A12" s="2"/>
      <c r="B12" s="2"/>
      <c r="C12" s="2"/>
      <c r="D12" s="30"/>
      <c r="E12" s="38">
        <f t="shared" si="0"/>
        <v>80</v>
      </c>
    </row>
    <row r="13" spans="1:7" x14ac:dyDescent="0.25">
      <c r="A13" s="2"/>
      <c r="B13" s="2"/>
      <c r="C13" s="2"/>
      <c r="D13" s="30"/>
      <c r="E13" s="38">
        <f t="shared" si="0"/>
        <v>80</v>
      </c>
    </row>
    <row r="14" spans="1:7" x14ac:dyDescent="0.25">
      <c r="A14" s="2"/>
      <c r="B14" s="2"/>
      <c r="C14" s="2"/>
      <c r="D14" s="30"/>
      <c r="E14" s="38">
        <f t="shared" si="0"/>
        <v>80</v>
      </c>
    </row>
    <row r="15" spans="1:7" x14ac:dyDescent="0.25">
      <c r="A15" s="2"/>
      <c r="B15" s="2"/>
      <c r="C15" s="2"/>
      <c r="D15" s="30"/>
      <c r="E15" s="38">
        <f t="shared" si="0"/>
        <v>80</v>
      </c>
    </row>
    <row r="16" spans="1:7" x14ac:dyDescent="0.25">
      <c r="A16" s="14"/>
      <c r="B16" s="2"/>
      <c r="C16" s="2"/>
      <c r="D16" s="30"/>
      <c r="E16" s="38">
        <f t="shared" si="0"/>
        <v>80</v>
      </c>
    </row>
    <row r="17" spans="1:5" x14ac:dyDescent="0.25">
      <c r="A17" s="14"/>
      <c r="B17" s="2"/>
      <c r="C17" s="2"/>
      <c r="D17" s="30"/>
      <c r="E17" s="38">
        <f t="shared" si="0"/>
        <v>80</v>
      </c>
    </row>
    <row r="18" spans="1:5" x14ac:dyDescent="0.25">
      <c r="A18" s="14"/>
      <c r="B18" s="2"/>
      <c r="C18" s="2"/>
      <c r="D18" s="30"/>
      <c r="E18" s="38">
        <f t="shared" si="0"/>
        <v>80</v>
      </c>
    </row>
    <row r="19" spans="1:5" x14ac:dyDescent="0.25">
      <c r="A19" s="2"/>
      <c r="B19" s="2"/>
      <c r="C19" s="2"/>
      <c r="D19" s="30"/>
      <c r="E19" s="38">
        <f t="shared" si="0"/>
        <v>80</v>
      </c>
    </row>
    <row r="20" spans="1:5" x14ac:dyDescent="0.25">
      <c r="A20" s="2"/>
      <c r="B20" s="2"/>
      <c r="C20" s="2"/>
      <c r="D20" s="30"/>
      <c r="E20" s="38">
        <f t="shared" si="0"/>
        <v>80</v>
      </c>
    </row>
    <row r="21" spans="1:5" x14ac:dyDescent="0.25">
      <c r="A21" s="2"/>
      <c r="B21" s="2"/>
      <c r="C21" s="2"/>
      <c r="D21" s="30"/>
      <c r="E21" s="38">
        <f t="shared" si="0"/>
        <v>80</v>
      </c>
    </row>
    <row r="22" spans="1:5" x14ac:dyDescent="0.25">
      <c r="A22" s="2"/>
      <c r="B22" s="2"/>
      <c r="C22" s="2"/>
      <c r="D22" s="30"/>
      <c r="E22" s="38">
        <f t="shared" si="0"/>
        <v>80</v>
      </c>
    </row>
    <row r="23" spans="1:5" x14ac:dyDescent="0.25">
      <c r="A23" s="2"/>
      <c r="B23" s="2"/>
      <c r="C23" s="2"/>
      <c r="D23" s="30"/>
      <c r="E23" s="38">
        <f t="shared" si="0"/>
        <v>80</v>
      </c>
    </row>
    <row r="24" spans="1:5" x14ac:dyDescent="0.25">
      <c r="A24" s="14"/>
      <c r="B24" s="2"/>
      <c r="C24" s="2"/>
      <c r="D24" s="30"/>
      <c r="E24" s="38">
        <f t="shared" si="0"/>
        <v>80</v>
      </c>
    </row>
    <row r="25" spans="1:5" x14ac:dyDescent="0.25">
      <c r="A25" s="14"/>
      <c r="B25" s="2"/>
      <c r="C25" s="2"/>
      <c r="D25" s="30"/>
      <c r="E25" s="38">
        <f t="shared" si="0"/>
        <v>80</v>
      </c>
    </row>
    <row r="26" spans="1:5" x14ac:dyDescent="0.25">
      <c r="A26" s="2"/>
      <c r="B26" s="2"/>
      <c r="C26" s="2"/>
      <c r="D26" s="30"/>
      <c r="E26" s="38">
        <f t="shared" si="0"/>
        <v>80</v>
      </c>
    </row>
    <row r="27" spans="1:5" x14ac:dyDescent="0.25">
      <c r="A27" s="2"/>
      <c r="B27" s="2"/>
      <c r="C27" s="2"/>
      <c r="D27" s="30"/>
      <c r="E27" s="38">
        <f t="shared" si="0"/>
        <v>80</v>
      </c>
    </row>
    <row r="28" spans="1:5" x14ac:dyDescent="0.25">
      <c r="A28" s="2"/>
      <c r="B28" s="2"/>
      <c r="C28" s="2"/>
      <c r="D28" s="30"/>
      <c r="E28" s="38">
        <f t="shared" si="0"/>
        <v>80</v>
      </c>
    </row>
    <row r="29" spans="1:5" x14ac:dyDescent="0.25">
      <c r="A29" s="14"/>
      <c r="B29" s="2"/>
      <c r="C29" s="2"/>
      <c r="D29" s="30"/>
      <c r="E29" s="38">
        <f t="shared" si="0"/>
        <v>80</v>
      </c>
    </row>
    <row r="30" spans="1:5" x14ac:dyDescent="0.25">
      <c r="A30" s="14"/>
      <c r="B30" s="2"/>
      <c r="C30" s="2"/>
      <c r="D30" s="30"/>
      <c r="E30" s="38">
        <f t="shared" si="0"/>
        <v>80</v>
      </c>
    </row>
    <row r="31" spans="1:5" x14ac:dyDescent="0.25">
      <c r="A31" s="2"/>
      <c r="B31" s="2"/>
      <c r="C31" s="2"/>
      <c r="D31" s="30"/>
      <c r="E31" s="38">
        <f t="shared" si="0"/>
        <v>80</v>
      </c>
    </row>
    <row r="32" spans="1:5" x14ac:dyDescent="0.25">
      <c r="A32" s="2"/>
      <c r="B32" s="2"/>
      <c r="C32" s="2"/>
      <c r="D32" s="30"/>
      <c r="E32" s="38">
        <f t="shared" si="0"/>
        <v>80</v>
      </c>
    </row>
    <row r="33" spans="1:5" x14ac:dyDescent="0.25">
      <c r="A33" s="2"/>
      <c r="B33" s="2"/>
      <c r="C33" s="2"/>
      <c r="D33" s="30"/>
      <c r="E33" s="38">
        <f t="shared" si="0"/>
        <v>80</v>
      </c>
    </row>
    <row r="34" spans="1:5" x14ac:dyDescent="0.25">
      <c r="A34" s="2"/>
      <c r="B34" s="2"/>
      <c r="C34" s="2"/>
      <c r="D34" s="30"/>
      <c r="E34" s="38">
        <f>E33+B34+C34-D34</f>
        <v>80</v>
      </c>
    </row>
    <row r="35" spans="1:5" x14ac:dyDescent="0.25">
      <c r="A35" s="14"/>
      <c r="B35" s="2"/>
      <c r="C35" s="2"/>
      <c r="D35" s="30"/>
      <c r="E35" s="38">
        <f>E34+B35+C35-D35</f>
        <v>80</v>
      </c>
    </row>
    <row r="36" spans="1:5" x14ac:dyDescent="0.25">
      <c r="A36" s="2"/>
      <c r="B36" s="2"/>
      <c r="C36" s="2"/>
      <c r="D36" s="30"/>
      <c r="E36" s="38">
        <f t="shared" ref="E36:E52" si="1">E35+B36+C36-D36</f>
        <v>80</v>
      </c>
    </row>
    <row r="37" spans="1:5" x14ac:dyDescent="0.25">
      <c r="A37" s="2"/>
      <c r="B37" s="2"/>
      <c r="C37" s="2"/>
      <c r="D37" s="30"/>
      <c r="E37" s="38">
        <f t="shared" si="1"/>
        <v>80</v>
      </c>
    </row>
    <row r="38" spans="1:5" x14ac:dyDescent="0.25">
      <c r="A38" s="2"/>
      <c r="B38" s="2"/>
      <c r="C38" s="2"/>
      <c r="D38" s="30"/>
      <c r="E38" s="38">
        <f t="shared" si="1"/>
        <v>80</v>
      </c>
    </row>
    <row r="39" spans="1:5" x14ac:dyDescent="0.25">
      <c r="A39" s="2"/>
      <c r="B39" s="2"/>
      <c r="C39" s="2"/>
      <c r="D39" s="30"/>
      <c r="E39" s="38">
        <f t="shared" si="1"/>
        <v>80</v>
      </c>
    </row>
    <row r="40" spans="1:5" x14ac:dyDescent="0.25">
      <c r="A40" s="14"/>
      <c r="B40" s="2"/>
      <c r="C40" s="2"/>
      <c r="D40" s="30"/>
      <c r="E40" s="38">
        <f t="shared" si="1"/>
        <v>80</v>
      </c>
    </row>
    <row r="41" spans="1:5" x14ac:dyDescent="0.25">
      <c r="A41" s="14"/>
      <c r="B41" s="2"/>
      <c r="C41" s="2"/>
      <c r="D41" s="30"/>
      <c r="E41" s="38">
        <f t="shared" si="1"/>
        <v>80</v>
      </c>
    </row>
    <row r="42" spans="1:5" x14ac:dyDescent="0.25">
      <c r="A42" s="96"/>
      <c r="B42" s="2"/>
      <c r="C42" s="2"/>
      <c r="D42" s="30"/>
      <c r="E42" s="38">
        <f t="shared" si="1"/>
        <v>80</v>
      </c>
    </row>
    <row r="43" spans="1:5" x14ac:dyDescent="0.25">
      <c r="A43" s="2"/>
      <c r="B43" s="2"/>
      <c r="C43" s="2"/>
      <c r="D43" s="30"/>
      <c r="E43" s="38">
        <f t="shared" si="1"/>
        <v>80</v>
      </c>
    </row>
    <row r="44" spans="1:5" x14ac:dyDescent="0.25">
      <c r="A44" s="2"/>
      <c r="B44" s="2"/>
      <c r="C44" s="2"/>
      <c r="D44" s="30"/>
      <c r="E44" s="38">
        <f t="shared" si="1"/>
        <v>80</v>
      </c>
    </row>
    <row r="45" spans="1:5" x14ac:dyDescent="0.25">
      <c r="A45" s="2"/>
      <c r="B45" s="2"/>
      <c r="C45" s="2"/>
      <c r="D45" s="30"/>
      <c r="E45" s="38">
        <f t="shared" si="1"/>
        <v>80</v>
      </c>
    </row>
    <row r="46" spans="1:5" x14ac:dyDescent="0.25">
      <c r="A46" s="2"/>
      <c r="B46" s="2"/>
      <c r="C46" s="2"/>
      <c r="D46" s="30"/>
      <c r="E46" s="38">
        <f t="shared" si="1"/>
        <v>80</v>
      </c>
    </row>
    <row r="47" spans="1:5" x14ac:dyDescent="0.25">
      <c r="A47" s="2"/>
      <c r="B47" s="2"/>
      <c r="C47" s="2"/>
      <c r="D47" s="30"/>
      <c r="E47" s="38">
        <f t="shared" si="1"/>
        <v>80</v>
      </c>
    </row>
    <row r="48" spans="1:5" x14ac:dyDescent="0.25">
      <c r="A48" s="2"/>
      <c r="B48" s="2"/>
      <c r="C48" s="2"/>
      <c r="D48" s="30"/>
      <c r="E48" s="38">
        <f t="shared" si="1"/>
        <v>80</v>
      </c>
    </row>
    <row r="49" spans="1:5" x14ac:dyDescent="0.25">
      <c r="A49" s="2"/>
      <c r="B49" s="2"/>
      <c r="C49" s="2"/>
      <c r="D49" s="30"/>
      <c r="E49" s="38">
        <f t="shared" si="1"/>
        <v>80</v>
      </c>
    </row>
    <row r="50" spans="1:5" x14ac:dyDescent="0.25">
      <c r="A50" s="2"/>
      <c r="B50" s="2"/>
      <c r="C50" s="2"/>
      <c r="D50" s="30"/>
      <c r="E50" s="38">
        <f t="shared" si="1"/>
        <v>80</v>
      </c>
    </row>
    <row r="51" spans="1:5" x14ac:dyDescent="0.25">
      <c r="A51" s="2"/>
      <c r="B51" s="2"/>
      <c r="C51" s="2"/>
      <c r="D51" s="30"/>
      <c r="E51" s="38">
        <f t="shared" si="1"/>
        <v>80</v>
      </c>
    </row>
    <row r="52" spans="1:5" ht="15.75" thickBot="1" x14ac:dyDescent="0.3">
      <c r="A52" s="16"/>
      <c r="B52" s="16"/>
      <c r="C52" s="16"/>
      <c r="D52" s="33"/>
      <c r="E52" s="38">
        <f t="shared" si="1"/>
        <v>80</v>
      </c>
    </row>
    <row r="53" spans="1:5" ht="15.75" thickBot="1" x14ac:dyDescent="0.3">
      <c r="A53" s="34" t="s">
        <v>22</v>
      </c>
      <c r="B53" s="35">
        <f>SUM(B4:B52)</f>
        <v>218</v>
      </c>
      <c r="C53" s="35">
        <f t="shared" ref="C53:D53" si="2">SUM(C4:C52)</f>
        <v>0</v>
      </c>
      <c r="D53" s="36">
        <f t="shared" si="2"/>
        <v>138</v>
      </c>
      <c r="E53" s="15"/>
    </row>
  </sheetData>
  <pageMargins left="0.7" right="0.7" top="0.75" bottom="0.75" header="0.3" footer="0.3"/>
  <pageSetup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E28"/>
  <sheetViews>
    <sheetView tabSelected="1" workbookViewId="0">
      <selection activeCell="A10" sqref="A10"/>
    </sheetView>
  </sheetViews>
  <sheetFormatPr defaultRowHeight="15" x14ac:dyDescent="0.25"/>
  <cols>
    <col min="1" max="4" width="16.7109375" customWidth="1"/>
    <col min="5" max="5" width="16.7109375" style="1" customWidth="1"/>
  </cols>
  <sheetData>
    <row r="2" spans="1:5" ht="15.75" thickBot="1" x14ac:dyDescent="0.3">
      <c r="B2" s="1" t="s">
        <v>2</v>
      </c>
      <c r="C2" s="1"/>
    </row>
    <row r="3" spans="1:5" ht="15.75" thickBot="1" x14ac:dyDescent="0.3">
      <c r="A3" s="24" t="s">
        <v>6</v>
      </c>
      <c r="B3" s="26" t="s">
        <v>20</v>
      </c>
      <c r="C3" s="26" t="s">
        <v>17</v>
      </c>
      <c r="D3" s="26" t="s">
        <v>18</v>
      </c>
      <c r="E3" s="27" t="s">
        <v>4</v>
      </c>
    </row>
    <row r="4" spans="1:5" x14ac:dyDescent="0.25">
      <c r="A4" s="115">
        <v>46023</v>
      </c>
      <c r="B4" s="23">
        <f>45+62+18+144</f>
        <v>269</v>
      </c>
      <c r="C4" s="3"/>
      <c r="D4" s="29">
        <f>45+62+18</f>
        <v>125</v>
      </c>
      <c r="E4" s="37">
        <f>B4+C4-D4</f>
        <v>144</v>
      </c>
    </row>
    <row r="5" spans="1:5" x14ac:dyDescent="0.25">
      <c r="A5" s="115" t="s">
        <v>36</v>
      </c>
      <c r="B5" s="2"/>
      <c r="C5" s="2"/>
      <c r="D5" s="30">
        <v>144</v>
      </c>
      <c r="E5" s="38">
        <f>E4+B5+C5-D5</f>
        <v>0</v>
      </c>
    </row>
    <row r="6" spans="1:5" x14ac:dyDescent="0.25">
      <c r="A6" s="115" t="s">
        <v>38</v>
      </c>
      <c r="B6" s="2"/>
      <c r="C6" s="2">
        <f>144*3</f>
        <v>432</v>
      </c>
      <c r="D6" s="30"/>
      <c r="E6" s="38">
        <f t="shared" ref="E6:E27" si="0">E5+B6+C6-D6</f>
        <v>432</v>
      </c>
    </row>
    <row r="7" spans="1:5" x14ac:dyDescent="0.25">
      <c r="A7" s="14"/>
      <c r="B7" s="2"/>
      <c r="C7" s="2"/>
      <c r="D7" s="30"/>
      <c r="E7" s="38">
        <f t="shared" si="0"/>
        <v>432</v>
      </c>
    </row>
    <row r="8" spans="1:5" x14ac:dyDescent="0.25">
      <c r="A8" s="14"/>
      <c r="B8" s="2"/>
      <c r="C8" s="2"/>
      <c r="D8" s="30"/>
      <c r="E8" s="38">
        <f t="shared" si="0"/>
        <v>432</v>
      </c>
    </row>
    <row r="9" spans="1:5" x14ac:dyDescent="0.25">
      <c r="A9" s="2"/>
      <c r="B9" s="2"/>
      <c r="C9" s="2"/>
      <c r="D9" s="30"/>
      <c r="E9" s="38">
        <f t="shared" si="0"/>
        <v>432</v>
      </c>
    </row>
    <row r="10" spans="1:5" x14ac:dyDescent="0.25">
      <c r="A10" s="115"/>
      <c r="B10" s="2"/>
      <c r="C10" s="2"/>
      <c r="D10" s="30"/>
      <c r="E10" s="38">
        <f t="shared" si="0"/>
        <v>432</v>
      </c>
    </row>
    <row r="11" spans="1:5" x14ac:dyDescent="0.25">
      <c r="A11" s="14"/>
      <c r="B11" s="2"/>
      <c r="C11" s="2"/>
      <c r="D11" s="30"/>
      <c r="E11" s="38">
        <f t="shared" si="0"/>
        <v>432</v>
      </c>
    </row>
    <row r="12" spans="1:5" x14ac:dyDescent="0.25">
      <c r="A12" s="14"/>
      <c r="B12" s="2"/>
      <c r="C12" s="2"/>
      <c r="D12" s="30"/>
      <c r="E12" s="38">
        <f t="shared" si="0"/>
        <v>432</v>
      </c>
    </row>
    <row r="13" spans="1:5" x14ac:dyDescent="0.25">
      <c r="A13" s="2"/>
      <c r="B13" s="2"/>
      <c r="C13" s="2"/>
      <c r="D13" s="30"/>
      <c r="E13" s="38">
        <f t="shared" si="0"/>
        <v>432</v>
      </c>
    </row>
    <row r="14" spans="1:5" x14ac:dyDescent="0.25">
      <c r="A14" s="2"/>
      <c r="B14" s="2"/>
      <c r="C14" s="2"/>
      <c r="D14" s="30"/>
      <c r="E14" s="38">
        <f t="shared" si="0"/>
        <v>432</v>
      </c>
    </row>
    <row r="15" spans="1:5" x14ac:dyDescent="0.25">
      <c r="A15" s="14"/>
      <c r="B15" s="2"/>
      <c r="C15" s="2"/>
      <c r="D15" s="30"/>
      <c r="E15" s="38">
        <f t="shared" si="0"/>
        <v>432</v>
      </c>
    </row>
    <row r="16" spans="1:5" x14ac:dyDescent="0.25">
      <c r="A16" s="2"/>
      <c r="B16" s="2"/>
      <c r="C16" s="2"/>
      <c r="D16" s="30"/>
      <c r="E16" s="38">
        <f t="shared" si="0"/>
        <v>432</v>
      </c>
    </row>
    <row r="17" spans="1:5" x14ac:dyDescent="0.25">
      <c r="A17" s="14"/>
      <c r="B17" s="2"/>
      <c r="C17" s="2"/>
      <c r="D17" s="30"/>
      <c r="E17" s="38">
        <f t="shared" si="0"/>
        <v>432</v>
      </c>
    </row>
    <row r="18" spans="1:5" x14ac:dyDescent="0.25">
      <c r="A18" s="14"/>
      <c r="B18" s="2"/>
      <c r="C18" s="2"/>
      <c r="D18" s="30"/>
      <c r="E18" s="38">
        <f t="shared" si="0"/>
        <v>432</v>
      </c>
    </row>
    <row r="19" spans="1:5" x14ac:dyDescent="0.25">
      <c r="A19" s="2"/>
      <c r="B19" s="2"/>
      <c r="C19" s="2"/>
      <c r="D19" s="30"/>
      <c r="E19" s="38">
        <f t="shared" si="0"/>
        <v>432</v>
      </c>
    </row>
    <row r="20" spans="1:5" x14ac:dyDescent="0.25">
      <c r="A20" s="2"/>
      <c r="B20" s="2"/>
      <c r="C20" s="2"/>
      <c r="D20" s="30"/>
      <c r="E20" s="38">
        <f t="shared" si="0"/>
        <v>432</v>
      </c>
    </row>
    <row r="21" spans="1:5" x14ac:dyDescent="0.25">
      <c r="A21" s="2"/>
      <c r="B21" s="2"/>
      <c r="C21" s="2"/>
      <c r="D21" s="30"/>
      <c r="E21" s="38">
        <f t="shared" si="0"/>
        <v>432</v>
      </c>
    </row>
    <row r="22" spans="1:5" x14ac:dyDescent="0.25">
      <c r="A22" s="2"/>
      <c r="B22" s="2"/>
      <c r="C22" s="2"/>
      <c r="D22" s="30"/>
      <c r="E22" s="38">
        <f t="shared" si="0"/>
        <v>432</v>
      </c>
    </row>
    <row r="23" spans="1:5" x14ac:dyDescent="0.25">
      <c r="A23" s="2"/>
      <c r="B23" s="2"/>
      <c r="C23" s="2"/>
      <c r="D23" s="30"/>
      <c r="E23" s="38">
        <f t="shared" si="0"/>
        <v>432</v>
      </c>
    </row>
    <row r="24" spans="1:5" x14ac:dyDescent="0.25">
      <c r="A24" s="14"/>
      <c r="B24" s="2"/>
      <c r="C24" s="2"/>
      <c r="D24" s="30"/>
      <c r="E24" s="38">
        <f t="shared" si="0"/>
        <v>432</v>
      </c>
    </row>
    <row r="25" spans="1:5" x14ac:dyDescent="0.25">
      <c r="A25" s="2"/>
      <c r="B25" s="2"/>
      <c r="C25" s="2"/>
      <c r="D25" s="30"/>
      <c r="E25" s="38">
        <f t="shared" si="0"/>
        <v>432</v>
      </c>
    </row>
    <row r="26" spans="1:5" x14ac:dyDescent="0.25">
      <c r="A26" s="2"/>
      <c r="B26" s="2"/>
      <c r="C26" s="2"/>
      <c r="D26" s="30"/>
      <c r="E26" s="38">
        <f t="shared" si="0"/>
        <v>432</v>
      </c>
    </row>
    <row r="27" spans="1:5" ht="15.75" thickBot="1" x14ac:dyDescent="0.3">
      <c r="A27" s="16"/>
      <c r="B27" s="16"/>
      <c r="C27" s="16"/>
      <c r="D27" s="33"/>
      <c r="E27" s="39">
        <f t="shared" si="0"/>
        <v>432</v>
      </c>
    </row>
    <row r="28" spans="1:5" ht="15.75" thickBot="1" x14ac:dyDescent="0.3">
      <c r="A28" s="34" t="s">
        <v>22</v>
      </c>
      <c r="B28" s="35">
        <f>SUM(B4:B27)</f>
        <v>269</v>
      </c>
      <c r="C28" s="35">
        <f t="shared" ref="C28:D28" si="1">SUM(C4:C27)</f>
        <v>432</v>
      </c>
      <c r="D28" s="36">
        <f t="shared" si="1"/>
        <v>269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3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8" sqref="G8"/>
    </sheetView>
  </sheetViews>
  <sheetFormatPr defaultRowHeight="15" x14ac:dyDescent="0.25"/>
  <cols>
    <col min="1" max="1" width="17.85546875" style="79" customWidth="1"/>
    <col min="2" max="4" width="17.85546875" customWidth="1"/>
    <col min="5" max="5" width="17.85546875" style="1" customWidth="1"/>
  </cols>
  <sheetData>
    <row r="2" spans="1:5" ht="15.75" thickBot="1" x14ac:dyDescent="0.3">
      <c r="B2" s="1" t="s">
        <v>2</v>
      </c>
      <c r="C2" s="1"/>
    </row>
    <row r="3" spans="1:5" s="1" customFormat="1" ht="15.75" thickBot="1" x14ac:dyDescent="0.3">
      <c r="A3" s="80" t="s">
        <v>6</v>
      </c>
      <c r="B3" s="26" t="s">
        <v>7</v>
      </c>
      <c r="C3" s="86" t="s">
        <v>17</v>
      </c>
      <c r="D3" s="85" t="s">
        <v>18</v>
      </c>
      <c r="E3" s="27" t="s">
        <v>31</v>
      </c>
    </row>
    <row r="4" spans="1:5" x14ac:dyDescent="0.25">
      <c r="A4" s="115">
        <v>46023</v>
      </c>
      <c r="B4" s="100">
        <f>12+6+24</f>
        <v>42</v>
      </c>
      <c r="C4" s="101"/>
      <c r="D4" s="102">
        <f>12+6</f>
        <v>18</v>
      </c>
      <c r="E4" s="37">
        <f>B4+C4-D4</f>
        <v>24</v>
      </c>
    </row>
    <row r="5" spans="1:5" x14ac:dyDescent="0.25">
      <c r="A5" s="103" t="s">
        <v>36</v>
      </c>
      <c r="B5" s="104"/>
      <c r="C5" s="104"/>
      <c r="D5" s="105">
        <v>12</v>
      </c>
      <c r="E5" s="38">
        <f>E4+B5+C5-D5</f>
        <v>12</v>
      </c>
    </row>
    <row r="6" spans="1:5" x14ac:dyDescent="0.25">
      <c r="A6" s="103"/>
      <c r="B6" s="104"/>
      <c r="C6" s="104"/>
      <c r="D6" s="105"/>
      <c r="E6" s="38">
        <f t="shared" ref="E6:E34" si="0">E5+B6+C6-D6</f>
        <v>12</v>
      </c>
    </row>
    <row r="7" spans="1:5" x14ac:dyDescent="0.25">
      <c r="A7" s="103"/>
      <c r="B7" s="104"/>
      <c r="C7" s="104"/>
      <c r="D7" s="105"/>
      <c r="E7" s="38">
        <f t="shared" si="0"/>
        <v>12</v>
      </c>
    </row>
    <row r="8" spans="1:5" x14ac:dyDescent="0.25">
      <c r="A8" s="103"/>
      <c r="B8" s="104"/>
      <c r="C8" s="104"/>
      <c r="D8" s="105"/>
      <c r="E8" s="38">
        <f t="shared" si="0"/>
        <v>12</v>
      </c>
    </row>
    <row r="9" spans="1:5" x14ac:dyDescent="0.25">
      <c r="A9" s="106"/>
      <c r="B9" s="104"/>
      <c r="C9" s="104"/>
      <c r="D9" s="105"/>
      <c r="E9" s="38">
        <f t="shared" si="0"/>
        <v>12</v>
      </c>
    </row>
    <row r="10" spans="1:5" x14ac:dyDescent="0.25">
      <c r="A10" s="106"/>
      <c r="B10" s="104"/>
      <c r="C10" s="104"/>
      <c r="D10" s="105"/>
      <c r="E10" s="38">
        <f t="shared" si="0"/>
        <v>12</v>
      </c>
    </row>
    <row r="11" spans="1:5" x14ac:dyDescent="0.25">
      <c r="A11" s="106"/>
      <c r="B11" s="104"/>
      <c r="C11" s="104"/>
      <c r="D11" s="105"/>
      <c r="E11" s="38">
        <f t="shared" si="0"/>
        <v>12</v>
      </c>
    </row>
    <row r="12" spans="1:5" x14ac:dyDescent="0.25">
      <c r="A12" s="106"/>
      <c r="B12" s="104"/>
      <c r="C12" s="104"/>
      <c r="D12" s="105"/>
      <c r="E12" s="38">
        <f t="shared" si="0"/>
        <v>12</v>
      </c>
    </row>
    <row r="13" spans="1:5" x14ac:dyDescent="0.25">
      <c r="A13" s="103"/>
      <c r="B13" s="104"/>
      <c r="C13" s="104"/>
      <c r="D13" s="105"/>
      <c r="E13" s="38">
        <f t="shared" si="0"/>
        <v>12</v>
      </c>
    </row>
    <row r="14" spans="1:5" x14ac:dyDescent="0.25">
      <c r="A14" s="103"/>
      <c r="B14" s="104"/>
      <c r="C14" s="104"/>
      <c r="D14" s="105"/>
      <c r="E14" s="38">
        <f t="shared" si="0"/>
        <v>12</v>
      </c>
    </row>
    <row r="15" spans="1:5" x14ac:dyDescent="0.25">
      <c r="A15" s="106"/>
      <c r="B15" s="104"/>
      <c r="C15" s="104"/>
      <c r="D15" s="105"/>
      <c r="E15" s="38">
        <f t="shared" si="0"/>
        <v>12</v>
      </c>
    </row>
    <row r="16" spans="1:5" x14ac:dyDescent="0.25">
      <c r="A16" s="106"/>
      <c r="B16" s="104"/>
      <c r="C16" s="104"/>
      <c r="D16" s="105"/>
      <c r="E16" s="38">
        <f t="shared" si="0"/>
        <v>12</v>
      </c>
    </row>
    <row r="17" spans="1:7" x14ac:dyDescent="0.25">
      <c r="A17" s="103"/>
      <c r="B17" s="104"/>
      <c r="C17" s="104"/>
      <c r="D17" s="105"/>
      <c r="E17" s="38">
        <f t="shared" si="0"/>
        <v>12</v>
      </c>
    </row>
    <row r="18" spans="1:7" x14ac:dyDescent="0.25">
      <c r="A18" s="103"/>
      <c r="B18" s="104"/>
      <c r="C18" s="104"/>
      <c r="D18" s="105"/>
      <c r="E18" s="38">
        <f t="shared" si="0"/>
        <v>12</v>
      </c>
      <c r="G18">
        <f>+G14</f>
        <v>0</v>
      </c>
    </row>
    <row r="19" spans="1:7" x14ac:dyDescent="0.25">
      <c r="A19" s="103"/>
      <c r="B19" s="104"/>
      <c r="C19" s="104"/>
      <c r="D19" s="105"/>
      <c r="E19" s="38">
        <f t="shared" si="0"/>
        <v>12</v>
      </c>
    </row>
    <row r="20" spans="1:7" x14ac:dyDescent="0.25">
      <c r="A20" s="106"/>
      <c r="B20" s="104"/>
      <c r="C20" s="104"/>
      <c r="D20" s="105"/>
      <c r="E20" s="38">
        <f t="shared" si="0"/>
        <v>12</v>
      </c>
    </row>
    <row r="21" spans="1:7" x14ac:dyDescent="0.25">
      <c r="A21" s="103"/>
      <c r="B21" s="104"/>
      <c r="C21" s="104"/>
      <c r="D21" s="105"/>
      <c r="E21" s="38">
        <f t="shared" si="0"/>
        <v>12</v>
      </c>
    </row>
    <row r="22" spans="1:7" x14ac:dyDescent="0.25">
      <c r="A22" s="103"/>
      <c r="B22" s="104"/>
      <c r="C22" s="104"/>
      <c r="D22" s="105"/>
      <c r="E22" s="38">
        <f t="shared" si="0"/>
        <v>12</v>
      </c>
    </row>
    <row r="23" spans="1:7" x14ac:dyDescent="0.25">
      <c r="A23" s="106"/>
      <c r="B23" s="104"/>
      <c r="C23" s="104"/>
      <c r="D23" s="105"/>
      <c r="E23" s="38">
        <f t="shared" si="0"/>
        <v>12</v>
      </c>
    </row>
    <row r="24" spans="1:7" x14ac:dyDescent="0.25">
      <c r="A24" s="106"/>
      <c r="B24" s="104"/>
      <c r="C24" s="104"/>
      <c r="D24" s="105"/>
      <c r="E24" s="38">
        <f t="shared" si="0"/>
        <v>12</v>
      </c>
    </row>
    <row r="25" spans="1:7" x14ac:dyDescent="0.25">
      <c r="A25" s="106"/>
      <c r="B25" s="104"/>
      <c r="C25" s="104"/>
      <c r="D25" s="105"/>
      <c r="E25" s="38">
        <f>E24+B25+C25-D25</f>
        <v>12</v>
      </c>
    </row>
    <row r="26" spans="1:7" x14ac:dyDescent="0.25">
      <c r="A26" s="106"/>
      <c r="B26" s="104"/>
      <c r="C26" s="104"/>
      <c r="D26" s="105"/>
      <c r="E26" s="38">
        <f t="shared" si="0"/>
        <v>12</v>
      </c>
    </row>
    <row r="27" spans="1:7" x14ac:dyDescent="0.25">
      <c r="A27" s="103"/>
      <c r="B27" s="104"/>
      <c r="C27" s="104"/>
      <c r="D27" s="105"/>
      <c r="E27" s="38">
        <f t="shared" si="0"/>
        <v>12</v>
      </c>
    </row>
    <row r="28" spans="1:7" x14ac:dyDescent="0.25">
      <c r="A28" s="103"/>
      <c r="B28" s="104"/>
      <c r="C28" s="104"/>
      <c r="D28" s="105"/>
      <c r="E28" s="38">
        <f t="shared" si="0"/>
        <v>12</v>
      </c>
    </row>
    <row r="29" spans="1:7" x14ac:dyDescent="0.25">
      <c r="A29" s="103"/>
      <c r="B29" s="104"/>
      <c r="C29" s="104"/>
      <c r="D29" s="105"/>
      <c r="E29" s="38">
        <f t="shared" si="0"/>
        <v>12</v>
      </c>
    </row>
    <row r="30" spans="1:7" x14ac:dyDescent="0.25">
      <c r="A30" s="106"/>
      <c r="B30" s="104"/>
      <c r="C30" s="104"/>
      <c r="D30" s="105"/>
      <c r="E30" s="38">
        <f t="shared" si="0"/>
        <v>12</v>
      </c>
    </row>
    <row r="31" spans="1:7" x14ac:dyDescent="0.25">
      <c r="A31" s="106"/>
      <c r="B31" s="104"/>
      <c r="C31" s="104"/>
      <c r="D31" s="105"/>
      <c r="E31" s="38">
        <f t="shared" si="0"/>
        <v>12</v>
      </c>
    </row>
    <row r="32" spans="1:7" x14ac:dyDescent="0.25">
      <c r="A32" s="106"/>
      <c r="B32" s="104"/>
      <c r="C32" s="104"/>
      <c r="D32" s="105"/>
      <c r="E32" s="38">
        <f t="shared" si="0"/>
        <v>12</v>
      </c>
    </row>
    <row r="33" spans="1:5" x14ac:dyDescent="0.25">
      <c r="A33" s="106"/>
      <c r="B33" s="104"/>
      <c r="C33" s="104"/>
      <c r="D33" s="105"/>
      <c r="E33" s="38">
        <f t="shared" si="0"/>
        <v>12</v>
      </c>
    </row>
    <row r="34" spans="1:5" ht="15.75" thickBot="1" x14ac:dyDescent="0.3">
      <c r="A34" s="107"/>
      <c r="B34" s="108"/>
      <c r="C34" s="108"/>
      <c r="D34" s="109"/>
      <c r="E34" s="38">
        <f t="shared" si="0"/>
        <v>12</v>
      </c>
    </row>
    <row r="35" spans="1:5" ht="15.75" thickBot="1" x14ac:dyDescent="0.3">
      <c r="A35" s="84" t="s">
        <v>22</v>
      </c>
      <c r="B35" s="35">
        <f>SUM(B4:B34)</f>
        <v>42</v>
      </c>
      <c r="C35" s="35">
        <f t="shared" ref="C35:D35" si="1">SUM(C4:C34)</f>
        <v>0</v>
      </c>
      <c r="D35" s="36">
        <f t="shared" si="1"/>
        <v>30</v>
      </c>
    </row>
  </sheetData>
  <pageMargins left="0.7" right="0.7" top="0.75" bottom="0.75" header="0.3" footer="0.3"/>
  <pageSetup orientation="portrait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15" sqref="J15"/>
    </sheetView>
  </sheetViews>
  <sheetFormatPr defaultRowHeight="15" x14ac:dyDescent="0.25"/>
  <cols>
    <col min="1" max="5" width="18.28515625" customWidth="1"/>
  </cols>
  <sheetData>
    <row r="2" spans="1:5" ht="15.75" thickBot="1" x14ac:dyDescent="0.3">
      <c r="B2" s="1" t="s">
        <v>2</v>
      </c>
      <c r="C2" s="1"/>
    </row>
    <row r="3" spans="1:5" ht="15.75" thickBot="1" x14ac:dyDescent="0.3">
      <c r="A3" s="24" t="s">
        <v>6</v>
      </c>
      <c r="B3" s="26" t="s">
        <v>21</v>
      </c>
      <c r="C3" s="26" t="s">
        <v>17</v>
      </c>
      <c r="D3" s="26" t="s">
        <v>18</v>
      </c>
      <c r="E3" s="27" t="s">
        <v>33</v>
      </c>
    </row>
    <row r="4" spans="1:5" x14ac:dyDescent="0.25">
      <c r="A4" s="115">
        <v>46023</v>
      </c>
      <c r="B4" s="23">
        <f>24+9+4+3+48</f>
        <v>88</v>
      </c>
      <c r="C4" s="3"/>
      <c r="D4" s="29">
        <f>24+9+4+3</f>
        <v>40</v>
      </c>
      <c r="E4" s="41">
        <f>B4+C4-D4</f>
        <v>48</v>
      </c>
    </row>
    <row r="5" spans="1:5" x14ac:dyDescent="0.25">
      <c r="A5" s="14">
        <v>46024</v>
      </c>
      <c r="B5" s="2"/>
      <c r="C5" s="2">
        <v>48</v>
      </c>
      <c r="D5" s="30"/>
      <c r="E5" s="42">
        <f>E4+B5+C5-D5</f>
        <v>96</v>
      </c>
    </row>
    <row r="6" spans="1:5" x14ac:dyDescent="0.25">
      <c r="A6" s="14" t="s">
        <v>36</v>
      </c>
      <c r="B6" s="2"/>
      <c r="C6" s="2"/>
      <c r="D6" s="30">
        <v>24</v>
      </c>
      <c r="E6" s="42">
        <f t="shared" ref="E6:E22" si="0">E5+B6+C6-D6</f>
        <v>72</v>
      </c>
    </row>
    <row r="7" spans="1:5" x14ac:dyDescent="0.25">
      <c r="A7" s="14"/>
      <c r="B7" s="2"/>
      <c r="C7" s="2"/>
      <c r="D7" s="30"/>
      <c r="E7" s="42">
        <f t="shared" si="0"/>
        <v>72</v>
      </c>
    </row>
    <row r="8" spans="1:5" x14ac:dyDescent="0.25">
      <c r="A8" s="14"/>
      <c r="B8" s="2"/>
      <c r="C8" s="2"/>
      <c r="D8" s="30"/>
      <c r="E8" s="42">
        <f t="shared" si="0"/>
        <v>72</v>
      </c>
    </row>
    <row r="9" spans="1:5" x14ac:dyDescent="0.25">
      <c r="A9" s="2"/>
      <c r="B9" s="2"/>
      <c r="C9" s="2"/>
      <c r="D9" s="30"/>
      <c r="E9" s="42">
        <f t="shared" si="0"/>
        <v>72</v>
      </c>
    </row>
    <row r="10" spans="1:5" x14ac:dyDescent="0.25">
      <c r="A10" s="2"/>
      <c r="B10" s="2"/>
      <c r="C10" s="2"/>
      <c r="D10" s="30"/>
      <c r="E10" s="42">
        <f t="shared" si="0"/>
        <v>72</v>
      </c>
    </row>
    <row r="11" spans="1:5" x14ac:dyDescent="0.25">
      <c r="A11" s="2"/>
      <c r="B11" s="2"/>
      <c r="C11" s="2"/>
      <c r="D11" s="30"/>
      <c r="E11" s="42">
        <f t="shared" si="0"/>
        <v>72</v>
      </c>
    </row>
    <row r="12" spans="1:5" x14ac:dyDescent="0.25">
      <c r="A12" s="2"/>
      <c r="B12" s="2"/>
      <c r="C12" s="2"/>
      <c r="D12" s="30"/>
      <c r="E12" s="42">
        <f t="shared" si="0"/>
        <v>72</v>
      </c>
    </row>
    <row r="13" spans="1:5" x14ac:dyDescent="0.25">
      <c r="A13" s="14"/>
      <c r="B13" s="2"/>
      <c r="C13" s="2"/>
      <c r="D13" s="30"/>
      <c r="E13" s="42">
        <f t="shared" si="0"/>
        <v>72</v>
      </c>
    </row>
    <row r="14" spans="1:5" x14ac:dyDescent="0.25">
      <c r="A14" s="14"/>
      <c r="B14" s="2"/>
      <c r="C14" s="2"/>
      <c r="D14" s="30"/>
      <c r="E14" s="42">
        <f t="shared" si="0"/>
        <v>72</v>
      </c>
    </row>
    <row r="15" spans="1:5" x14ac:dyDescent="0.25">
      <c r="A15" s="2"/>
      <c r="B15" s="2"/>
      <c r="C15" s="2"/>
      <c r="D15" s="30"/>
      <c r="E15" s="42">
        <f t="shared" si="0"/>
        <v>72</v>
      </c>
    </row>
    <row r="16" spans="1:5" x14ac:dyDescent="0.25">
      <c r="A16" s="2"/>
      <c r="B16" s="2"/>
      <c r="C16" s="2"/>
      <c r="D16" s="30"/>
      <c r="E16" s="42">
        <f t="shared" si="0"/>
        <v>72</v>
      </c>
    </row>
    <row r="17" spans="1:7" x14ac:dyDescent="0.25">
      <c r="A17" s="2"/>
      <c r="B17" s="2"/>
      <c r="C17" s="2"/>
      <c r="D17" s="30"/>
      <c r="E17" s="42">
        <f t="shared" si="0"/>
        <v>72</v>
      </c>
    </row>
    <row r="18" spans="1:7" x14ac:dyDescent="0.25">
      <c r="A18" s="2"/>
      <c r="B18" s="2"/>
      <c r="C18" s="2"/>
      <c r="D18" s="30"/>
      <c r="E18" s="42">
        <f t="shared" si="0"/>
        <v>72</v>
      </c>
    </row>
    <row r="19" spans="1:7" x14ac:dyDescent="0.25">
      <c r="A19" s="14"/>
      <c r="B19" s="2"/>
      <c r="C19" s="2"/>
      <c r="D19" s="30"/>
      <c r="E19" s="42">
        <f t="shared" si="0"/>
        <v>72</v>
      </c>
    </row>
    <row r="20" spans="1:7" x14ac:dyDescent="0.25">
      <c r="A20" s="14"/>
      <c r="B20" s="2"/>
      <c r="C20" s="2"/>
      <c r="D20" s="30"/>
      <c r="E20" s="42">
        <f t="shared" si="0"/>
        <v>72</v>
      </c>
    </row>
    <row r="21" spans="1:7" x14ac:dyDescent="0.25">
      <c r="A21" s="2"/>
      <c r="B21" s="2"/>
      <c r="C21" s="2"/>
      <c r="D21" s="30"/>
      <c r="E21" s="42">
        <f t="shared" si="0"/>
        <v>72</v>
      </c>
      <c r="G21">
        <f>24*3</f>
        <v>72</v>
      </c>
    </row>
    <row r="22" spans="1:7" x14ac:dyDescent="0.25">
      <c r="A22" s="2"/>
      <c r="B22" s="2"/>
      <c r="C22" s="2"/>
      <c r="D22" s="30"/>
      <c r="E22" s="42">
        <f t="shared" si="0"/>
        <v>72</v>
      </c>
    </row>
    <row r="23" spans="1:7" x14ac:dyDescent="0.25">
      <c r="A23" s="2"/>
      <c r="B23" s="2"/>
      <c r="C23" s="2"/>
      <c r="D23" s="30"/>
      <c r="E23" s="42">
        <f>E22+B23+C23-D23</f>
        <v>72</v>
      </c>
    </row>
    <row r="24" spans="1:7" x14ac:dyDescent="0.25">
      <c r="A24" s="2"/>
      <c r="B24" s="2"/>
      <c r="C24" s="2"/>
      <c r="D24" s="30"/>
      <c r="E24" s="42">
        <f t="shared" ref="E24:E37" si="1">E23+B24+C24-D24</f>
        <v>72</v>
      </c>
    </row>
    <row r="25" spans="1:7" x14ac:dyDescent="0.25">
      <c r="A25" s="14"/>
      <c r="B25" s="2"/>
      <c r="C25" s="2"/>
      <c r="D25" s="30"/>
      <c r="E25" s="42">
        <f t="shared" si="1"/>
        <v>72</v>
      </c>
    </row>
    <row r="26" spans="1:7" x14ac:dyDescent="0.25">
      <c r="A26" s="14"/>
      <c r="B26" s="2"/>
      <c r="C26" s="2"/>
      <c r="D26" s="30"/>
      <c r="E26" s="42">
        <f t="shared" si="1"/>
        <v>72</v>
      </c>
    </row>
    <row r="27" spans="1:7" x14ac:dyDescent="0.25">
      <c r="A27" s="2"/>
      <c r="B27" s="2"/>
      <c r="C27" s="2"/>
      <c r="D27" s="30"/>
      <c r="E27" s="42">
        <f t="shared" si="1"/>
        <v>72</v>
      </c>
    </row>
    <row r="28" spans="1:7" x14ac:dyDescent="0.25">
      <c r="A28" s="2"/>
      <c r="B28" s="2"/>
      <c r="C28" s="2"/>
      <c r="D28" s="30"/>
      <c r="E28" s="42">
        <f t="shared" si="1"/>
        <v>72</v>
      </c>
    </row>
    <row r="29" spans="1:7" x14ac:dyDescent="0.25">
      <c r="A29" s="2"/>
      <c r="B29" s="2"/>
      <c r="C29" s="2"/>
      <c r="D29" s="30"/>
      <c r="E29" s="42">
        <f t="shared" si="1"/>
        <v>72</v>
      </c>
    </row>
    <row r="30" spans="1:7" x14ac:dyDescent="0.25">
      <c r="A30" s="2"/>
      <c r="B30" s="2"/>
      <c r="C30" s="2"/>
      <c r="D30" s="30"/>
      <c r="E30" s="42">
        <f t="shared" si="1"/>
        <v>72</v>
      </c>
    </row>
    <row r="31" spans="1:7" x14ac:dyDescent="0.25">
      <c r="A31" s="2"/>
      <c r="B31" s="2"/>
      <c r="C31" s="2"/>
      <c r="D31" s="30"/>
      <c r="E31" s="42">
        <f t="shared" si="1"/>
        <v>72</v>
      </c>
    </row>
    <row r="32" spans="1:7" x14ac:dyDescent="0.25">
      <c r="A32" s="2"/>
      <c r="B32" s="2"/>
      <c r="C32" s="2"/>
      <c r="D32" s="30"/>
      <c r="E32" s="42">
        <f t="shared" si="1"/>
        <v>72</v>
      </c>
    </row>
    <row r="33" spans="1:5" x14ac:dyDescent="0.25">
      <c r="A33" s="81"/>
      <c r="B33" s="2"/>
      <c r="C33" s="2"/>
      <c r="D33" s="30"/>
      <c r="E33" s="42">
        <f t="shared" si="1"/>
        <v>72</v>
      </c>
    </row>
    <row r="34" spans="1:5" x14ac:dyDescent="0.25">
      <c r="A34" s="14"/>
      <c r="B34" s="2"/>
      <c r="C34" s="2"/>
      <c r="D34" s="30"/>
      <c r="E34" s="42">
        <f t="shared" si="1"/>
        <v>72</v>
      </c>
    </row>
    <row r="35" spans="1:5" x14ac:dyDescent="0.25">
      <c r="A35" s="2"/>
      <c r="B35" s="2"/>
      <c r="C35" s="2"/>
      <c r="D35" s="30"/>
      <c r="E35" s="42">
        <f t="shared" si="1"/>
        <v>72</v>
      </c>
    </row>
    <row r="36" spans="1:5" x14ac:dyDescent="0.25">
      <c r="A36" s="2"/>
      <c r="B36" s="2"/>
      <c r="C36" s="2"/>
      <c r="D36" s="2"/>
      <c r="E36" s="42">
        <f t="shared" si="1"/>
        <v>72</v>
      </c>
    </row>
    <row r="37" spans="1:5" x14ac:dyDescent="0.25">
      <c r="A37" s="2"/>
      <c r="B37" s="2"/>
      <c r="C37" s="2"/>
      <c r="D37" s="2"/>
      <c r="E37" s="42">
        <f t="shared" si="1"/>
        <v>72</v>
      </c>
    </row>
    <row r="38" spans="1:5" s="1" customFormat="1" ht="15.75" thickBot="1" x14ac:dyDescent="0.3">
      <c r="A38" s="97" t="s">
        <v>23</v>
      </c>
      <c r="B38" s="98">
        <f>SUM(B4:B36)</f>
        <v>88</v>
      </c>
      <c r="C38" s="98">
        <f>SUM(C4:C36)</f>
        <v>48</v>
      </c>
      <c r="D38" s="99">
        <f>SUM(D4:D37)</f>
        <v>64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workbookViewId="0">
      <selection activeCell="C6" sqref="C6"/>
    </sheetView>
  </sheetViews>
  <sheetFormatPr defaultRowHeight="15" x14ac:dyDescent="0.25"/>
  <cols>
    <col min="1" max="5" width="17.140625" customWidth="1"/>
  </cols>
  <sheetData>
    <row r="2" spans="1:11" ht="15.75" thickBot="1" x14ac:dyDescent="0.3">
      <c r="B2" s="1" t="s">
        <v>2</v>
      </c>
      <c r="C2" s="1"/>
    </row>
    <row r="3" spans="1:11" ht="15.75" thickBot="1" x14ac:dyDescent="0.3">
      <c r="A3" s="24" t="s">
        <v>6</v>
      </c>
      <c r="B3" s="26" t="s">
        <v>1</v>
      </c>
      <c r="C3" s="26" t="s">
        <v>17</v>
      </c>
      <c r="D3" s="26" t="s">
        <v>18</v>
      </c>
      <c r="E3" s="27" t="s">
        <v>4</v>
      </c>
    </row>
    <row r="4" spans="1:11" x14ac:dyDescent="0.25">
      <c r="A4" s="115">
        <v>46023</v>
      </c>
      <c r="B4" s="23">
        <f>24+4+24</f>
        <v>52</v>
      </c>
      <c r="C4" s="3"/>
      <c r="D4" s="29">
        <v>28</v>
      </c>
      <c r="E4" s="41">
        <f>B4+C4-D4</f>
        <v>24</v>
      </c>
    </row>
    <row r="5" spans="1:11" x14ac:dyDescent="0.25">
      <c r="A5" s="14" t="s">
        <v>39</v>
      </c>
      <c r="B5" s="2"/>
      <c r="C5" s="2">
        <f>24*2</f>
        <v>48</v>
      </c>
      <c r="D5" s="30"/>
      <c r="E5" s="42">
        <f>E4+B5+C5-D5</f>
        <v>72</v>
      </c>
    </row>
    <row r="6" spans="1:11" x14ac:dyDescent="0.25">
      <c r="A6" s="14"/>
      <c r="B6" s="2"/>
      <c r="C6" s="2"/>
      <c r="D6" s="30"/>
      <c r="E6" s="42">
        <f t="shared" ref="E6:E27" si="0">E5+B6+C6-D6</f>
        <v>72</v>
      </c>
    </row>
    <row r="7" spans="1:11" x14ac:dyDescent="0.25">
      <c r="A7" s="14"/>
      <c r="B7" s="2"/>
      <c r="C7" s="2"/>
      <c r="D7" s="30"/>
      <c r="E7" s="42">
        <f t="shared" si="0"/>
        <v>72</v>
      </c>
    </row>
    <row r="8" spans="1:11" x14ac:dyDescent="0.25">
      <c r="A8" s="2"/>
      <c r="B8" s="2"/>
      <c r="C8" s="2"/>
      <c r="D8" s="30"/>
      <c r="E8" s="42">
        <f t="shared" si="0"/>
        <v>72</v>
      </c>
    </row>
    <row r="9" spans="1:11" x14ac:dyDescent="0.25">
      <c r="A9" s="2"/>
      <c r="B9" s="2"/>
      <c r="C9" s="2"/>
      <c r="D9" s="30"/>
      <c r="E9" s="42">
        <f t="shared" si="0"/>
        <v>72</v>
      </c>
    </row>
    <row r="10" spans="1:11" x14ac:dyDescent="0.25">
      <c r="A10" s="14"/>
      <c r="B10" s="2"/>
      <c r="C10" s="2"/>
      <c r="D10" s="30"/>
      <c r="E10" s="42">
        <f t="shared" si="0"/>
        <v>72</v>
      </c>
    </row>
    <row r="11" spans="1:11" x14ac:dyDescent="0.25">
      <c r="A11" s="14"/>
      <c r="B11" s="2"/>
      <c r="C11" s="2"/>
      <c r="D11" s="30"/>
      <c r="E11" s="42">
        <f t="shared" si="0"/>
        <v>72</v>
      </c>
    </row>
    <row r="12" spans="1:11" x14ac:dyDescent="0.25">
      <c r="A12" s="14"/>
      <c r="B12" s="2"/>
      <c r="C12" s="2"/>
      <c r="D12" s="30"/>
      <c r="E12" s="42">
        <f t="shared" si="0"/>
        <v>72</v>
      </c>
    </row>
    <row r="13" spans="1:11" x14ac:dyDescent="0.25">
      <c r="A13" s="14"/>
      <c r="B13" s="2"/>
      <c r="C13" s="2"/>
      <c r="D13" s="30"/>
      <c r="E13" s="42">
        <f t="shared" si="0"/>
        <v>72</v>
      </c>
      <c r="K13" t="s">
        <v>25</v>
      </c>
    </row>
    <row r="14" spans="1:11" x14ac:dyDescent="0.25">
      <c r="A14" s="14"/>
      <c r="B14" s="2"/>
      <c r="C14" s="2"/>
      <c r="D14" s="30"/>
      <c r="E14" s="42">
        <f t="shared" si="0"/>
        <v>72</v>
      </c>
    </row>
    <row r="15" spans="1:11" x14ac:dyDescent="0.25">
      <c r="A15" s="2"/>
      <c r="B15" s="2"/>
      <c r="C15" s="2"/>
      <c r="D15" s="30"/>
      <c r="E15" s="42">
        <f t="shared" si="0"/>
        <v>72</v>
      </c>
    </row>
    <row r="16" spans="1:11" x14ac:dyDescent="0.25">
      <c r="A16" s="2"/>
      <c r="B16" s="2"/>
      <c r="C16" s="2"/>
      <c r="D16" s="30"/>
      <c r="E16" s="42">
        <f t="shared" si="0"/>
        <v>72</v>
      </c>
    </row>
    <row r="17" spans="1:5" x14ac:dyDescent="0.25">
      <c r="A17" s="2"/>
      <c r="B17" s="2"/>
      <c r="C17" s="2"/>
      <c r="D17" s="30"/>
      <c r="E17" s="42">
        <f t="shared" si="0"/>
        <v>72</v>
      </c>
    </row>
    <row r="18" spans="1:5" x14ac:dyDescent="0.25">
      <c r="A18" s="2"/>
      <c r="B18" s="2"/>
      <c r="C18" s="2"/>
      <c r="D18" s="30"/>
      <c r="E18" s="42">
        <f t="shared" si="0"/>
        <v>72</v>
      </c>
    </row>
    <row r="19" spans="1:5" x14ac:dyDescent="0.25">
      <c r="A19" s="2"/>
      <c r="B19" s="2"/>
      <c r="C19" s="2"/>
      <c r="D19" s="30"/>
      <c r="E19" s="42">
        <f t="shared" si="0"/>
        <v>72</v>
      </c>
    </row>
    <row r="20" spans="1:5" x14ac:dyDescent="0.25">
      <c r="A20" s="2"/>
      <c r="B20" s="2"/>
      <c r="C20" s="2"/>
      <c r="D20" s="30"/>
      <c r="E20" s="42">
        <f t="shared" si="0"/>
        <v>72</v>
      </c>
    </row>
    <row r="21" spans="1:5" x14ac:dyDescent="0.25">
      <c r="A21" s="2"/>
      <c r="B21" s="2"/>
      <c r="C21" s="2"/>
      <c r="D21" s="30"/>
      <c r="E21" s="42">
        <f t="shared" si="0"/>
        <v>72</v>
      </c>
    </row>
    <row r="22" spans="1:5" x14ac:dyDescent="0.25">
      <c r="A22" s="2"/>
      <c r="B22" s="2"/>
      <c r="C22" s="2"/>
      <c r="D22" s="30"/>
      <c r="E22" s="42">
        <f t="shared" si="0"/>
        <v>72</v>
      </c>
    </row>
    <row r="23" spans="1:5" x14ac:dyDescent="0.25">
      <c r="A23" s="2"/>
      <c r="B23" s="2"/>
      <c r="C23" s="2"/>
      <c r="D23" s="30"/>
      <c r="E23" s="42">
        <f t="shared" si="0"/>
        <v>72</v>
      </c>
    </row>
    <row r="24" spans="1:5" x14ac:dyDescent="0.25">
      <c r="A24" s="2"/>
      <c r="B24" s="2"/>
      <c r="C24" s="2"/>
      <c r="D24" s="30"/>
      <c r="E24" s="42">
        <f t="shared" si="0"/>
        <v>72</v>
      </c>
    </row>
    <row r="25" spans="1:5" x14ac:dyDescent="0.25">
      <c r="A25" s="2"/>
      <c r="B25" s="2"/>
      <c r="C25" s="2"/>
      <c r="D25" s="30"/>
      <c r="E25" s="42">
        <f t="shared" si="0"/>
        <v>72</v>
      </c>
    </row>
    <row r="26" spans="1:5" x14ac:dyDescent="0.25">
      <c r="A26" s="2"/>
      <c r="B26" s="2"/>
      <c r="C26" s="2"/>
      <c r="D26" s="30"/>
      <c r="E26" s="42">
        <f t="shared" si="0"/>
        <v>72</v>
      </c>
    </row>
    <row r="27" spans="1:5" ht="15.75" thickBot="1" x14ac:dyDescent="0.3">
      <c r="A27" s="16"/>
      <c r="B27" s="16"/>
      <c r="C27" s="16"/>
      <c r="D27" s="33"/>
      <c r="E27" s="43">
        <f t="shared" si="0"/>
        <v>72</v>
      </c>
    </row>
    <row r="28" spans="1:5" ht="15.75" thickBot="1" x14ac:dyDescent="0.3">
      <c r="A28" s="34" t="s">
        <v>22</v>
      </c>
      <c r="B28" s="35">
        <f>SUM(B4:B27)</f>
        <v>52</v>
      </c>
      <c r="C28" s="35">
        <f t="shared" ref="C28:D28" si="1">SUM(C4:C27)</f>
        <v>48</v>
      </c>
      <c r="D28" s="36">
        <f t="shared" si="1"/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E28"/>
  <sheetViews>
    <sheetView workbookViewId="0">
      <selection activeCell="C7" sqref="C7"/>
    </sheetView>
  </sheetViews>
  <sheetFormatPr defaultRowHeight="15" x14ac:dyDescent="0.25"/>
  <cols>
    <col min="1" max="1" width="15.85546875" style="79" customWidth="1"/>
    <col min="2" max="5" width="15.85546875" customWidth="1"/>
  </cols>
  <sheetData>
    <row r="2" spans="1:5" ht="15.75" thickBot="1" x14ac:dyDescent="0.3">
      <c r="B2" s="1" t="s">
        <v>2</v>
      </c>
      <c r="C2" s="1"/>
    </row>
    <row r="3" spans="1:5" ht="15.75" thickBot="1" x14ac:dyDescent="0.3">
      <c r="A3" s="80" t="s">
        <v>6</v>
      </c>
      <c r="B3" s="26" t="s">
        <v>8</v>
      </c>
      <c r="C3" s="26" t="s">
        <v>17</v>
      </c>
      <c r="D3" s="26" t="s">
        <v>18</v>
      </c>
      <c r="E3" s="27" t="s">
        <v>4</v>
      </c>
    </row>
    <row r="4" spans="1:5" x14ac:dyDescent="0.25">
      <c r="A4" s="115">
        <v>46023</v>
      </c>
      <c r="B4" s="23">
        <f>4+12</f>
        <v>16</v>
      </c>
      <c r="C4" s="3"/>
      <c r="D4" s="29">
        <v>4</v>
      </c>
      <c r="E4" s="37">
        <f>B4+C4-D4</f>
        <v>12</v>
      </c>
    </row>
    <row r="5" spans="1:5" x14ac:dyDescent="0.25">
      <c r="A5" s="81" t="s">
        <v>36</v>
      </c>
      <c r="B5" s="2"/>
      <c r="C5" s="2"/>
      <c r="D5" s="30">
        <v>12</v>
      </c>
      <c r="E5" s="38">
        <f>E4+B5+C5-D5</f>
        <v>0</v>
      </c>
    </row>
    <row r="6" spans="1:5" x14ac:dyDescent="0.25">
      <c r="A6" s="81" t="s">
        <v>40</v>
      </c>
      <c r="B6" s="2"/>
      <c r="C6" s="2">
        <f>12*2</f>
        <v>24</v>
      </c>
      <c r="D6" s="30"/>
      <c r="E6" s="38">
        <f t="shared" ref="E6:E27" si="0">E5+B6+C6-D6</f>
        <v>24</v>
      </c>
    </row>
    <row r="7" spans="1:5" x14ac:dyDescent="0.25">
      <c r="A7" s="81"/>
      <c r="B7" s="2"/>
      <c r="C7" s="2"/>
      <c r="D7" s="30"/>
      <c r="E7" s="38">
        <f t="shared" si="0"/>
        <v>24</v>
      </c>
    </row>
    <row r="8" spans="1:5" x14ac:dyDescent="0.25">
      <c r="A8" s="81"/>
      <c r="B8" s="2"/>
      <c r="C8" s="2"/>
      <c r="D8" s="30"/>
      <c r="E8" s="38">
        <f t="shared" si="0"/>
        <v>24</v>
      </c>
    </row>
    <row r="9" spans="1:5" x14ac:dyDescent="0.25">
      <c r="A9" s="81"/>
      <c r="B9" s="2"/>
      <c r="C9" s="2"/>
      <c r="D9" s="30"/>
      <c r="E9" s="38">
        <f t="shared" si="0"/>
        <v>24</v>
      </c>
    </row>
    <row r="10" spans="1:5" x14ac:dyDescent="0.25">
      <c r="A10" s="82"/>
      <c r="B10" s="2"/>
      <c r="C10" s="2"/>
      <c r="D10" s="30"/>
      <c r="E10" s="38">
        <f t="shared" si="0"/>
        <v>24</v>
      </c>
    </row>
    <row r="11" spans="1:5" x14ac:dyDescent="0.25">
      <c r="A11" s="82"/>
      <c r="B11" s="2"/>
      <c r="C11" s="2"/>
      <c r="D11" s="30"/>
      <c r="E11" s="38">
        <f t="shared" si="0"/>
        <v>24</v>
      </c>
    </row>
    <row r="12" spans="1:5" x14ac:dyDescent="0.25">
      <c r="A12" s="82"/>
      <c r="B12" s="2"/>
      <c r="C12" s="2"/>
      <c r="D12" s="30"/>
      <c r="E12" s="38">
        <f t="shared" si="0"/>
        <v>24</v>
      </c>
    </row>
    <row r="13" spans="1:5" x14ac:dyDescent="0.25">
      <c r="A13" s="82"/>
      <c r="B13" s="2"/>
      <c r="C13" s="2"/>
      <c r="D13" s="30"/>
      <c r="E13" s="38">
        <f t="shared" si="0"/>
        <v>24</v>
      </c>
    </row>
    <row r="14" spans="1:5" x14ac:dyDescent="0.25">
      <c r="A14" s="82"/>
      <c r="B14" s="2"/>
      <c r="C14" s="2"/>
      <c r="D14" s="30"/>
      <c r="E14" s="38">
        <f t="shared" si="0"/>
        <v>24</v>
      </c>
    </row>
    <row r="15" spans="1:5" x14ac:dyDescent="0.25">
      <c r="A15" s="82"/>
      <c r="B15" s="2"/>
      <c r="C15" s="2"/>
      <c r="D15" s="30"/>
      <c r="E15" s="38">
        <f t="shared" si="0"/>
        <v>24</v>
      </c>
    </row>
    <row r="16" spans="1:5" x14ac:dyDescent="0.25">
      <c r="A16" s="82"/>
      <c r="B16" s="2"/>
      <c r="C16" s="2"/>
      <c r="D16" s="30"/>
      <c r="E16" s="38">
        <f t="shared" si="0"/>
        <v>24</v>
      </c>
    </row>
    <row r="17" spans="1:5" x14ac:dyDescent="0.25">
      <c r="A17" s="82"/>
      <c r="B17" s="2"/>
      <c r="C17" s="2"/>
      <c r="D17" s="30"/>
      <c r="E17" s="38">
        <f t="shared" si="0"/>
        <v>24</v>
      </c>
    </row>
    <row r="18" spans="1:5" x14ac:dyDescent="0.25">
      <c r="A18" s="82"/>
      <c r="B18" s="2"/>
      <c r="C18" s="2"/>
      <c r="D18" s="30"/>
      <c r="E18" s="38">
        <f t="shared" si="0"/>
        <v>24</v>
      </c>
    </row>
    <row r="19" spans="1:5" x14ac:dyDescent="0.25">
      <c r="A19" s="82"/>
      <c r="B19" s="2"/>
      <c r="C19" s="2"/>
      <c r="D19" s="30"/>
      <c r="E19" s="38">
        <f t="shared" si="0"/>
        <v>24</v>
      </c>
    </row>
    <row r="20" spans="1:5" x14ac:dyDescent="0.25">
      <c r="A20" s="82"/>
      <c r="B20" s="2"/>
      <c r="C20" s="2"/>
      <c r="D20" s="30"/>
      <c r="E20" s="38">
        <f t="shared" si="0"/>
        <v>24</v>
      </c>
    </row>
    <row r="21" spans="1:5" x14ac:dyDescent="0.25">
      <c r="A21" s="82"/>
      <c r="B21" s="2"/>
      <c r="C21" s="2"/>
      <c r="D21" s="30"/>
      <c r="E21" s="38">
        <f t="shared" si="0"/>
        <v>24</v>
      </c>
    </row>
    <row r="22" spans="1:5" x14ac:dyDescent="0.25">
      <c r="A22" s="82"/>
      <c r="B22" s="2"/>
      <c r="C22" s="2"/>
      <c r="D22" s="30"/>
      <c r="E22" s="38">
        <f t="shared" si="0"/>
        <v>24</v>
      </c>
    </row>
    <row r="23" spans="1:5" x14ac:dyDescent="0.25">
      <c r="A23" s="82"/>
      <c r="B23" s="2"/>
      <c r="C23" s="2"/>
      <c r="D23" s="30"/>
      <c r="E23" s="38">
        <f t="shared" si="0"/>
        <v>24</v>
      </c>
    </row>
    <row r="24" spans="1:5" x14ac:dyDescent="0.25">
      <c r="A24" s="82"/>
      <c r="B24" s="2"/>
      <c r="C24" s="2"/>
      <c r="D24" s="30"/>
      <c r="E24" s="38">
        <f t="shared" si="0"/>
        <v>24</v>
      </c>
    </row>
    <row r="25" spans="1:5" x14ac:dyDescent="0.25">
      <c r="A25" s="82"/>
      <c r="B25" s="2"/>
      <c r="C25" s="2"/>
      <c r="D25" s="30"/>
      <c r="E25" s="38">
        <f t="shared" si="0"/>
        <v>24</v>
      </c>
    </row>
    <row r="26" spans="1:5" x14ac:dyDescent="0.25">
      <c r="A26" s="82"/>
      <c r="B26" s="2"/>
      <c r="C26" s="2"/>
      <c r="D26" s="30"/>
      <c r="E26" s="38">
        <f t="shared" si="0"/>
        <v>24</v>
      </c>
    </row>
    <row r="27" spans="1:5" ht="15.75" thickBot="1" x14ac:dyDescent="0.3">
      <c r="A27" s="83"/>
      <c r="B27" s="16"/>
      <c r="C27" s="16"/>
      <c r="D27" s="33"/>
      <c r="E27" s="39">
        <f t="shared" si="0"/>
        <v>24</v>
      </c>
    </row>
    <row r="28" spans="1:5" ht="15.75" thickBot="1" x14ac:dyDescent="0.3">
      <c r="A28" s="84" t="s">
        <v>22</v>
      </c>
      <c r="B28" s="35">
        <f>SUM(B4:B27)</f>
        <v>16</v>
      </c>
      <c r="C28" s="35">
        <f t="shared" ref="C28:D28" si="1">SUM(C4:C27)</f>
        <v>24</v>
      </c>
      <c r="D28" s="36">
        <f t="shared" si="1"/>
        <v>16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28"/>
  <sheetViews>
    <sheetView workbookViewId="0">
      <selection activeCell="H19" sqref="H19"/>
    </sheetView>
  </sheetViews>
  <sheetFormatPr defaultRowHeight="15" x14ac:dyDescent="0.25"/>
  <cols>
    <col min="1" max="5" width="16.7109375" customWidth="1"/>
  </cols>
  <sheetData>
    <row r="2" spans="1:5" ht="15.75" thickBot="1" x14ac:dyDescent="0.3">
      <c r="B2" s="1" t="s">
        <v>2</v>
      </c>
      <c r="C2" s="1"/>
    </row>
    <row r="3" spans="1:5" ht="15.75" thickBot="1" x14ac:dyDescent="0.3">
      <c r="A3" s="24" t="s">
        <v>6</v>
      </c>
      <c r="B3" s="25" t="s">
        <v>9</v>
      </c>
      <c r="C3" s="26" t="s">
        <v>17</v>
      </c>
      <c r="D3" s="26" t="s">
        <v>18</v>
      </c>
      <c r="E3" s="27" t="s">
        <v>4</v>
      </c>
    </row>
    <row r="4" spans="1:5" x14ac:dyDescent="0.25">
      <c r="A4" s="115">
        <v>46023</v>
      </c>
      <c r="B4" s="100">
        <f>134+3</f>
        <v>137</v>
      </c>
      <c r="C4" s="101"/>
      <c r="D4" s="102">
        <v>3</v>
      </c>
      <c r="E4" s="41">
        <f>B4+C4-D4</f>
        <v>134</v>
      </c>
    </row>
    <row r="5" spans="1:5" x14ac:dyDescent="0.25">
      <c r="A5" s="110" t="s">
        <v>36</v>
      </c>
      <c r="B5" s="111"/>
      <c r="C5" s="111"/>
      <c r="D5" s="112">
        <v>20</v>
      </c>
      <c r="E5" s="114">
        <f>E4+B5+C5-D5</f>
        <v>114</v>
      </c>
    </row>
    <row r="6" spans="1:5" x14ac:dyDescent="0.25">
      <c r="A6" s="113"/>
      <c r="B6" s="104"/>
      <c r="C6" s="104"/>
      <c r="D6" s="105"/>
      <c r="E6" s="42">
        <f t="shared" ref="E6:E27" si="0">E5+B6+C6-D6</f>
        <v>114</v>
      </c>
    </row>
    <row r="7" spans="1:5" x14ac:dyDescent="0.25">
      <c r="A7" s="113"/>
      <c r="B7" s="104"/>
      <c r="C7" s="104"/>
      <c r="D7" s="105"/>
      <c r="E7" s="42">
        <f t="shared" si="0"/>
        <v>114</v>
      </c>
    </row>
    <row r="8" spans="1:5" x14ac:dyDescent="0.25">
      <c r="A8" s="104"/>
      <c r="B8" s="104"/>
      <c r="C8" s="104"/>
      <c r="D8" s="105"/>
      <c r="E8" s="42">
        <f t="shared" si="0"/>
        <v>114</v>
      </c>
    </row>
    <row r="9" spans="1:5" x14ac:dyDescent="0.25">
      <c r="A9" s="104"/>
      <c r="B9" s="104"/>
      <c r="C9" s="104"/>
      <c r="D9" s="105"/>
      <c r="E9" s="42">
        <f t="shared" si="0"/>
        <v>114</v>
      </c>
    </row>
    <row r="10" spans="1:5" x14ac:dyDescent="0.25">
      <c r="A10" s="104"/>
      <c r="B10" s="104"/>
      <c r="C10" s="104"/>
      <c r="D10" s="105"/>
      <c r="E10" s="42">
        <f t="shared" si="0"/>
        <v>114</v>
      </c>
    </row>
    <row r="11" spans="1:5" x14ac:dyDescent="0.25">
      <c r="A11" s="104"/>
      <c r="B11" s="104"/>
      <c r="C11" s="104"/>
      <c r="D11" s="105"/>
      <c r="E11" s="42">
        <f t="shared" si="0"/>
        <v>114</v>
      </c>
    </row>
    <row r="12" spans="1:5" x14ac:dyDescent="0.25">
      <c r="A12" s="104"/>
      <c r="B12" s="104"/>
      <c r="C12" s="104"/>
      <c r="D12" s="105"/>
      <c r="E12" s="42">
        <f t="shared" si="0"/>
        <v>114</v>
      </c>
    </row>
    <row r="13" spans="1:5" x14ac:dyDescent="0.25">
      <c r="A13" s="104"/>
      <c r="B13" s="104"/>
      <c r="C13" s="104"/>
      <c r="D13" s="105"/>
      <c r="E13" s="42">
        <f t="shared" si="0"/>
        <v>114</v>
      </c>
    </row>
    <row r="14" spans="1:5" x14ac:dyDescent="0.25">
      <c r="A14" s="104"/>
      <c r="B14" s="104"/>
      <c r="C14" s="104"/>
      <c r="D14" s="105"/>
      <c r="E14" s="42">
        <f t="shared" si="0"/>
        <v>114</v>
      </c>
    </row>
    <row r="15" spans="1:5" x14ac:dyDescent="0.25">
      <c r="A15" s="104"/>
      <c r="B15" s="104"/>
      <c r="C15" s="104"/>
      <c r="D15" s="105"/>
      <c r="E15" s="42">
        <f t="shared" si="0"/>
        <v>114</v>
      </c>
    </row>
    <row r="16" spans="1:5" x14ac:dyDescent="0.25">
      <c r="A16" s="104"/>
      <c r="B16" s="104"/>
      <c r="C16" s="104"/>
      <c r="D16" s="105"/>
      <c r="E16" s="42">
        <f t="shared" si="0"/>
        <v>114</v>
      </c>
    </row>
    <row r="17" spans="1:8" x14ac:dyDescent="0.25">
      <c r="A17" s="104"/>
      <c r="B17" s="104"/>
      <c r="C17" s="104"/>
      <c r="D17" s="105"/>
      <c r="E17" s="42">
        <f t="shared" si="0"/>
        <v>114</v>
      </c>
    </row>
    <row r="18" spans="1:8" x14ac:dyDescent="0.25">
      <c r="A18" s="104"/>
      <c r="B18" s="104"/>
      <c r="C18" s="104"/>
      <c r="D18" s="105"/>
      <c r="E18" s="42">
        <f t="shared" si="0"/>
        <v>114</v>
      </c>
    </row>
    <row r="19" spans="1:8" x14ac:dyDescent="0.25">
      <c r="A19" s="104"/>
      <c r="B19" s="104"/>
      <c r="C19" s="104"/>
      <c r="D19" s="105"/>
      <c r="E19" s="42">
        <f t="shared" si="0"/>
        <v>114</v>
      </c>
      <c r="H19" t="s">
        <v>25</v>
      </c>
    </row>
    <row r="20" spans="1:8" x14ac:dyDescent="0.25">
      <c r="A20" s="104"/>
      <c r="B20" s="104"/>
      <c r="C20" s="104"/>
      <c r="D20" s="105"/>
      <c r="E20" s="42">
        <f t="shared" si="0"/>
        <v>114</v>
      </c>
    </row>
    <row r="21" spans="1:8" x14ac:dyDescent="0.25">
      <c r="A21" s="104"/>
      <c r="B21" s="104"/>
      <c r="C21" s="104"/>
      <c r="D21" s="105"/>
      <c r="E21" s="42">
        <f t="shared" si="0"/>
        <v>114</v>
      </c>
    </row>
    <row r="22" spans="1:8" x14ac:dyDescent="0.25">
      <c r="A22" s="104"/>
      <c r="B22" s="104"/>
      <c r="C22" s="104"/>
      <c r="D22" s="105"/>
      <c r="E22" s="42">
        <f t="shared" si="0"/>
        <v>114</v>
      </c>
    </row>
    <row r="23" spans="1:8" x14ac:dyDescent="0.25">
      <c r="A23" s="2"/>
      <c r="B23" s="2"/>
      <c r="C23" s="2"/>
      <c r="D23" s="30"/>
      <c r="E23" s="42">
        <f t="shared" si="0"/>
        <v>114</v>
      </c>
    </row>
    <row r="24" spans="1:8" x14ac:dyDescent="0.25">
      <c r="A24" s="2"/>
      <c r="B24" s="2"/>
      <c r="C24" s="2"/>
      <c r="D24" s="30"/>
      <c r="E24" s="42">
        <f t="shared" si="0"/>
        <v>114</v>
      </c>
    </row>
    <row r="25" spans="1:8" x14ac:dyDescent="0.25">
      <c r="A25" s="2"/>
      <c r="B25" s="2"/>
      <c r="C25" s="2"/>
      <c r="D25" s="30"/>
      <c r="E25" s="42">
        <f t="shared" si="0"/>
        <v>114</v>
      </c>
    </row>
    <row r="26" spans="1:8" x14ac:dyDescent="0.25">
      <c r="A26" s="2"/>
      <c r="B26" s="2"/>
      <c r="C26" s="2"/>
      <c r="D26" s="30"/>
      <c r="E26" s="42">
        <f t="shared" si="0"/>
        <v>114</v>
      </c>
    </row>
    <row r="27" spans="1:8" ht="15.75" thickBot="1" x14ac:dyDescent="0.3">
      <c r="A27" s="16"/>
      <c r="B27" s="16"/>
      <c r="C27" s="16"/>
      <c r="D27" s="33"/>
      <c r="E27" s="43">
        <f t="shared" si="0"/>
        <v>114</v>
      </c>
    </row>
    <row r="28" spans="1:8" ht="15.75" thickBot="1" x14ac:dyDescent="0.3">
      <c r="A28" s="34" t="s">
        <v>22</v>
      </c>
      <c r="B28" s="35">
        <f>SUM(B4:B27)</f>
        <v>137</v>
      </c>
      <c r="C28" s="35">
        <f t="shared" ref="C28:D28" si="1">SUM(C4:C27)</f>
        <v>0</v>
      </c>
      <c r="D28" s="36">
        <f t="shared" si="1"/>
        <v>23</v>
      </c>
    </row>
  </sheetData>
  <pageMargins left="0.7" right="0.7" top="0.75" bottom="0.75" header="0.3" footer="0.3"/>
  <pageSetup orientation="portrait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8"/>
  <sheetViews>
    <sheetView workbookViewId="0">
      <selection activeCell="F4" sqref="F4"/>
    </sheetView>
  </sheetViews>
  <sheetFormatPr defaultRowHeight="15" x14ac:dyDescent="0.25"/>
  <cols>
    <col min="1" max="5" width="17.28515625" customWidth="1"/>
  </cols>
  <sheetData>
    <row r="2" spans="1:6" ht="15.75" thickBot="1" x14ac:dyDescent="0.3">
      <c r="B2" s="1" t="s">
        <v>2</v>
      </c>
      <c r="C2" s="1"/>
    </row>
    <row r="3" spans="1:6" ht="15.75" thickBot="1" x14ac:dyDescent="0.3">
      <c r="A3" s="24" t="s">
        <v>6</v>
      </c>
      <c r="B3" s="25" t="s">
        <v>11</v>
      </c>
      <c r="C3" s="26" t="s">
        <v>17</v>
      </c>
      <c r="D3" s="28" t="s">
        <v>18</v>
      </c>
      <c r="E3" s="32" t="s">
        <v>4</v>
      </c>
    </row>
    <row r="4" spans="1:6" x14ac:dyDescent="0.25">
      <c r="A4" s="115">
        <v>46023</v>
      </c>
      <c r="B4" s="23">
        <f>17+2+24</f>
        <v>43</v>
      </c>
      <c r="C4" s="3"/>
      <c r="D4" s="29">
        <f>19</f>
        <v>19</v>
      </c>
      <c r="E4" s="47">
        <f>B4+C4-D4</f>
        <v>24</v>
      </c>
      <c r="F4" t="s">
        <v>29</v>
      </c>
    </row>
    <row r="5" spans="1:6" x14ac:dyDescent="0.25">
      <c r="A5" s="19"/>
      <c r="B5" s="2"/>
      <c r="C5" s="2"/>
      <c r="D5" s="30"/>
      <c r="E5" s="47">
        <f t="shared" ref="E5:E27" si="0">B5+C5-D5</f>
        <v>0</v>
      </c>
    </row>
    <row r="6" spans="1:6" x14ac:dyDescent="0.25">
      <c r="A6" s="19"/>
      <c r="B6" s="2"/>
      <c r="C6" s="2"/>
      <c r="D6" s="30"/>
      <c r="E6" s="47">
        <f t="shared" si="0"/>
        <v>0</v>
      </c>
    </row>
    <row r="7" spans="1:6" x14ac:dyDescent="0.25">
      <c r="A7" s="19"/>
      <c r="B7" s="2"/>
      <c r="C7" s="2"/>
      <c r="D7" s="30"/>
      <c r="E7" s="47">
        <f t="shared" si="0"/>
        <v>0</v>
      </c>
    </row>
    <row r="8" spans="1:6" x14ac:dyDescent="0.25">
      <c r="A8" s="20"/>
      <c r="B8" s="2"/>
      <c r="C8" s="2"/>
      <c r="D8" s="30"/>
      <c r="E8" s="47">
        <f t="shared" si="0"/>
        <v>0</v>
      </c>
    </row>
    <row r="9" spans="1:6" x14ac:dyDescent="0.25">
      <c r="A9" s="20"/>
      <c r="B9" s="2"/>
      <c r="C9" s="2"/>
      <c r="D9" s="30"/>
      <c r="E9" s="47">
        <f t="shared" si="0"/>
        <v>0</v>
      </c>
    </row>
    <row r="10" spans="1:6" x14ac:dyDescent="0.25">
      <c r="A10" s="20"/>
      <c r="B10" s="2"/>
      <c r="C10" s="2"/>
      <c r="D10" s="30"/>
      <c r="E10" s="47">
        <f t="shared" si="0"/>
        <v>0</v>
      </c>
    </row>
    <row r="11" spans="1:6" x14ac:dyDescent="0.25">
      <c r="A11" s="20"/>
      <c r="B11" s="2"/>
      <c r="C11" s="2"/>
      <c r="D11" s="30"/>
      <c r="E11" s="47">
        <f t="shared" si="0"/>
        <v>0</v>
      </c>
    </row>
    <row r="12" spans="1:6" x14ac:dyDescent="0.25">
      <c r="A12" s="20"/>
      <c r="B12" s="2"/>
      <c r="C12" s="2"/>
      <c r="D12" s="30"/>
      <c r="E12" s="47">
        <f t="shared" si="0"/>
        <v>0</v>
      </c>
    </row>
    <row r="13" spans="1:6" x14ac:dyDescent="0.25">
      <c r="A13" s="20"/>
      <c r="B13" s="2"/>
      <c r="C13" s="2"/>
      <c r="D13" s="30"/>
      <c r="E13" s="47">
        <f t="shared" si="0"/>
        <v>0</v>
      </c>
    </row>
    <row r="14" spans="1:6" x14ac:dyDescent="0.25">
      <c r="A14" s="20"/>
      <c r="B14" s="2"/>
      <c r="C14" s="2"/>
      <c r="D14" s="30"/>
      <c r="E14" s="47">
        <f t="shared" si="0"/>
        <v>0</v>
      </c>
    </row>
    <row r="15" spans="1:6" x14ac:dyDescent="0.25">
      <c r="A15" s="20"/>
      <c r="B15" s="2"/>
      <c r="C15" s="2"/>
      <c r="D15" s="30"/>
      <c r="E15" s="47">
        <f t="shared" si="0"/>
        <v>0</v>
      </c>
    </row>
    <row r="16" spans="1:6" x14ac:dyDescent="0.25">
      <c r="A16" s="20"/>
      <c r="B16" s="2"/>
      <c r="C16" s="2"/>
      <c r="D16" s="30"/>
      <c r="E16" s="47">
        <f t="shared" si="0"/>
        <v>0</v>
      </c>
    </row>
    <row r="17" spans="1:5" x14ac:dyDescent="0.25">
      <c r="A17" s="20"/>
      <c r="B17" s="2"/>
      <c r="C17" s="2"/>
      <c r="D17" s="30"/>
      <c r="E17" s="47">
        <f t="shared" si="0"/>
        <v>0</v>
      </c>
    </row>
    <row r="18" spans="1:5" x14ac:dyDescent="0.25">
      <c r="A18" s="20"/>
      <c r="B18" s="2"/>
      <c r="C18" s="2"/>
      <c r="D18" s="30"/>
      <c r="E18" s="47">
        <f t="shared" si="0"/>
        <v>0</v>
      </c>
    </row>
    <row r="19" spans="1:5" x14ac:dyDescent="0.25">
      <c r="A19" s="20"/>
      <c r="B19" s="2"/>
      <c r="C19" s="2"/>
      <c r="D19" s="30"/>
      <c r="E19" s="47">
        <f t="shared" si="0"/>
        <v>0</v>
      </c>
    </row>
    <row r="20" spans="1:5" x14ac:dyDescent="0.25">
      <c r="A20" s="20"/>
      <c r="B20" s="2"/>
      <c r="C20" s="2"/>
      <c r="D20" s="30"/>
      <c r="E20" s="47">
        <f t="shared" si="0"/>
        <v>0</v>
      </c>
    </row>
    <row r="21" spans="1:5" x14ac:dyDescent="0.25">
      <c r="A21" s="20"/>
      <c r="B21" s="2"/>
      <c r="C21" s="2"/>
      <c r="D21" s="30"/>
      <c r="E21" s="47">
        <f t="shared" si="0"/>
        <v>0</v>
      </c>
    </row>
    <row r="22" spans="1:5" x14ac:dyDescent="0.25">
      <c r="A22" s="20"/>
      <c r="B22" s="2"/>
      <c r="C22" s="2"/>
      <c r="D22" s="30"/>
      <c r="E22" s="47">
        <f t="shared" si="0"/>
        <v>0</v>
      </c>
    </row>
    <row r="23" spans="1:5" x14ac:dyDescent="0.25">
      <c r="A23" s="20"/>
      <c r="B23" s="2"/>
      <c r="C23" s="2"/>
      <c r="D23" s="30"/>
      <c r="E23" s="47">
        <f t="shared" si="0"/>
        <v>0</v>
      </c>
    </row>
    <row r="24" spans="1:5" x14ac:dyDescent="0.25">
      <c r="A24" s="20"/>
      <c r="B24" s="2"/>
      <c r="C24" s="2"/>
      <c r="D24" s="30"/>
      <c r="E24" s="47">
        <f t="shared" si="0"/>
        <v>0</v>
      </c>
    </row>
    <row r="25" spans="1:5" x14ac:dyDescent="0.25">
      <c r="A25" s="20"/>
      <c r="B25" s="2"/>
      <c r="C25" s="2"/>
      <c r="D25" s="30"/>
      <c r="E25" s="47">
        <f t="shared" si="0"/>
        <v>0</v>
      </c>
    </row>
    <row r="26" spans="1:5" x14ac:dyDescent="0.25">
      <c r="A26" s="20"/>
      <c r="B26" s="2"/>
      <c r="C26" s="2"/>
      <c r="D26" s="30"/>
      <c r="E26" s="47">
        <f t="shared" si="0"/>
        <v>0</v>
      </c>
    </row>
    <row r="27" spans="1:5" ht="15.75" thickBot="1" x14ac:dyDescent="0.3">
      <c r="A27" s="21"/>
      <c r="B27" s="22"/>
      <c r="C27" s="22"/>
      <c r="D27" s="31"/>
      <c r="E27" s="47">
        <f t="shared" si="0"/>
        <v>0</v>
      </c>
    </row>
    <row r="28" spans="1:5" ht="15.75" thickBot="1" x14ac:dyDescent="0.3">
      <c r="A28" s="44" t="s">
        <v>22</v>
      </c>
      <c r="B28" s="45">
        <f>SUM(B4:B27)</f>
        <v>43</v>
      </c>
      <c r="C28" s="45">
        <f t="shared" ref="C28:D28" si="1">SUM(C4:C27)</f>
        <v>0</v>
      </c>
      <c r="D28" s="46">
        <f t="shared" si="1"/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8"/>
  <sheetViews>
    <sheetView workbookViewId="0">
      <selection activeCell="D4" sqref="D4"/>
    </sheetView>
  </sheetViews>
  <sheetFormatPr defaultRowHeight="15" x14ac:dyDescent="0.25"/>
  <cols>
    <col min="1" max="5" width="17.5703125" customWidth="1"/>
  </cols>
  <sheetData>
    <row r="2" spans="1:5" ht="15.75" thickBot="1" x14ac:dyDescent="0.3">
      <c r="B2" s="1" t="s">
        <v>2</v>
      </c>
      <c r="C2" s="1"/>
    </row>
    <row r="3" spans="1:5" ht="15.75" thickBot="1" x14ac:dyDescent="0.3">
      <c r="A3" s="24" t="s">
        <v>6</v>
      </c>
      <c r="B3" s="25" t="s">
        <v>12</v>
      </c>
      <c r="C3" s="26" t="s">
        <v>17</v>
      </c>
      <c r="D3" s="26" t="s">
        <v>18</v>
      </c>
      <c r="E3" s="27" t="s">
        <v>4</v>
      </c>
    </row>
    <row r="4" spans="1:5" x14ac:dyDescent="0.25">
      <c r="A4" s="115">
        <v>46023</v>
      </c>
      <c r="B4" s="23">
        <v>11</v>
      </c>
      <c r="C4" s="3"/>
      <c r="D4" s="29">
        <v>11</v>
      </c>
      <c r="E4" s="37">
        <f>B4+C4-D4</f>
        <v>0</v>
      </c>
    </row>
    <row r="5" spans="1:5" x14ac:dyDescent="0.25">
      <c r="A5" s="14"/>
      <c r="B5" s="2"/>
      <c r="C5" s="2"/>
      <c r="D5" s="30"/>
      <c r="E5" s="38">
        <f>E4+B5+C5-D5</f>
        <v>0</v>
      </c>
    </row>
    <row r="6" spans="1:5" x14ac:dyDescent="0.25">
      <c r="A6" s="14"/>
      <c r="B6" s="2"/>
      <c r="C6" s="2"/>
      <c r="D6" s="30"/>
      <c r="E6" s="38">
        <f t="shared" ref="E6:E27" si="0">E5+B6+C6-D6</f>
        <v>0</v>
      </c>
    </row>
    <row r="7" spans="1:5" x14ac:dyDescent="0.25">
      <c r="A7" s="14"/>
      <c r="B7" s="2"/>
      <c r="C7" s="2"/>
      <c r="D7" s="30"/>
      <c r="E7" s="38">
        <f t="shared" si="0"/>
        <v>0</v>
      </c>
    </row>
    <row r="8" spans="1:5" x14ac:dyDescent="0.25">
      <c r="A8" s="2"/>
      <c r="B8" s="2"/>
      <c r="C8" s="2"/>
      <c r="D8" s="30"/>
      <c r="E8" s="38">
        <f t="shared" si="0"/>
        <v>0</v>
      </c>
    </row>
    <row r="9" spans="1:5" x14ac:dyDescent="0.25">
      <c r="A9" s="2"/>
      <c r="B9" s="2"/>
      <c r="C9" s="2"/>
      <c r="D9" s="30"/>
      <c r="E9" s="38">
        <f t="shared" si="0"/>
        <v>0</v>
      </c>
    </row>
    <row r="10" spans="1:5" x14ac:dyDescent="0.25">
      <c r="A10" s="2"/>
      <c r="B10" s="2"/>
      <c r="C10" s="2"/>
      <c r="D10" s="30"/>
      <c r="E10" s="38">
        <f t="shared" si="0"/>
        <v>0</v>
      </c>
    </row>
    <row r="11" spans="1:5" x14ac:dyDescent="0.25">
      <c r="A11" s="2"/>
      <c r="B11" s="2"/>
      <c r="C11" s="2"/>
      <c r="D11" s="30"/>
      <c r="E11" s="38">
        <f t="shared" si="0"/>
        <v>0</v>
      </c>
    </row>
    <row r="12" spans="1:5" x14ac:dyDescent="0.25">
      <c r="A12" s="2"/>
      <c r="B12" s="2"/>
      <c r="C12" s="2"/>
      <c r="D12" s="30"/>
      <c r="E12" s="38">
        <f t="shared" si="0"/>
        <v>0</v>
      </c>
    </row>
    <row r="13" spans="1:5" x14ac:dyDescent="0.25">
      <c r="A13" s="2"/>
      <c r="B13" s="2"/>
      <c r="C13" s="2"/>
      <c r="D13" s="30"/>
      <c r="E13" s="38">
        <f t="shared" si="0"/>
        <v>0</v>
      </c>
    </row>
    <row r="14" spans="1:5" x14ac:dyDescent="0.25">
      <c r="A14" s="2"/>
      <c r="B14" s="2"/>
      <c r="C14" s="2"/>
      <c r="D14" s="30"/>
      <c r="E14" s="38">
        <f t="shared" si="0"/>
        <v>0</v>
      </c>
    </row>
    <row r="15" spans="1:5" x14ac:dyDescent="0.25">
      <c r="A15" s="2"/>
      <c r="B15" s="2"/>
      <c r="C15" s="2"/>
      <c r="D15" s="30"/>
      <c r="E15" s="38">
        <f t="shared" si="0"/>
        <v>0</v>
      </c>
    </row>
    <row r="16" spans="1:5" x14ac:dyDescent="0.25">
      <c r="A16" s="2"/>
      <c r="B16" s="2"/>
      <c r="C16" s="2"/>
      <c r="D16" s="30"/>
      <c r="E16" s="38">
        <f t="shared" si="0"/>
        <v>0</v>
      </c>
    </row>
    <row r="17" spans="1:5" x14ac:dyDescent="0.25">
      <c r="A17" s="2"/>
      <c r="B17" s="2"/>
      <c r="C17" s="2"/>
      <c r="D17" s="30"/>
      <c r="E17" s="38">
        <f t="shared" si="0"/>
        <v>0</v>
      </c>
    </row>
    <row r="18" spans="1:5" x14ac:dyDescent="0.25">
      <c r="A18" s="2"/>
      <c r="B18" s="2"/>
      <c r="C18" s="2"/>
      <c r="D18" s="30"/>
      <c r="E18" s="38">
        <f t="shared" si="0"/>
        <v>0</v>
      </c>
    </row>
    <row r="19" spans="1:5" x14ac:dyDescent="0.25">
      <c r="A19" s="2"/>
      <c r="B19" s="2"/>
      <c r="C19" s="2"/>
      <c r="D19" s="30"/>
      <c r="E19" s="38">
        <f>E18+B19+C19-D19</f>
        <v>0</v>
      </c>
    </row>
    <row r="20" spans="1:5" x14ac:dyDescent="0.25">
      <c r="A20" s="2"/>
      <c r="B20" s="2"/>
      <c r="C20" s="2"/>
      <c r="D20" s="30"/>
      <c r="E20" s="38">
        <f t="shared" si="0"/>
        <v>0</v>
      </c>
    </row>
    <row r="21" spans="1:5" x14ac:dyDescent="0.25">
      <c r="A21" s="2"/>
      <c r="B21" s="2"/>
      <c r="C21" s="2"/>
      <c r="D21" s="30"/>
      <c r="E21" s="38">
        <f t="shared" si="0"/>
        <v>0</v>
      </c>
    </row>
    <row r="22" spans="1:5" x14ac:dyDescent="0.25">
      <c r="A22" s="2"/>
      <c r="B22" s="2"/>
      <c r="C22" s="2"/>
      <c r="D22" s="30"/>
      <c r="E22" s="38">
        <f t="shared" si="0"/>
        <v>0</v>
      </c>
    </row>
    <row r="23" spans="1:5" x14ac:dyDescent="0.25">
      <c r="A23" s="2"/>
      <c r="B23" s="2"/>
      <c r="C23" s="2"/>
      <c r="D23" s="30"/>
      <c r="E23" s="38">
        <f t="shared" si="0"/>
        <v>0</v>
      </c>
    </row>
    <row r="24" spans="1:5" x14ac:dyDescent="0.25">
      <c r="A24" s="2"/>
      <c r="B24" s="2"/>
      <c r="C24" s="2"/>
      <c r="D24" s="30"/>
      <c r="E24" s="38">
        <f t="shared" si="0"/>
        <v>0</v>
      </c>
    </row>
    <row r="25" spans="1:5" x14ac:dyDescent="0.25">
      <c r="A25" s="2"/>
      <c r="B25" s="2"/>
      <c r="C25" s="2"/>
      <c r="D25" s="30"/>
      <c r="E25" s="38">
        <f t="shared" si="0"/>
        <v>0</v>
      </c>
    </row>
    <row r="26" spans="1:5" x14ac:dyDescent="0.25">
      <c r="A26" s="2"/>
      <c r="B26" s="2"/>
      <c r="C26" s="2"/>
      <c r="D26" s="30"/>
      <c r="E26" s="38">
        <f t="shared" si="0"/>
        <v>0</v>
      </c>
    </row>
    <row r="27" spans="1:5" ht="15.75" thickBot="1" x14ac:dyDescent="0.3">
      <c r="A27" s="16"/>
      <c r="B27" s="16"/>
      <c r="C27" s="16"/>
      <c r="D27" s="33"/>
      <c r="E27" s="39">
        <f t="shared" si="0"/>
        <v>0</v>
      </c>
    </row>
    <row r="28" spans="1:5" ht="15.75" thickBot="1" x14ac:dyDescent="0.3">
      <c r="A28" s="34" t="s">
        <v>22</v>
      </c>
      <c r="B28" s="35">
        <f>SUM(B4:B27)</f>
        <v>11</v>
      </c>
      <c r="C28" s="35">
        <f t="shared" ref="C28:D28" si="1">SUM(C4:C27)</f>
        <v>0</v>
      </c>
      <c r="D28" s="36">
        <f t="shared" si="1"/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8"/>
  <sheetViews>
    <sheetView workbookViewId="0">
      <selection activeCell="I10" sqref="I10"/>
    </sheetView>
  </sheetViews>
  <sheetFormatPr defaultRowHeight="15" x14ac:dyDescent="0.25"/>
  <cols>
    <col min="1" max="5" width="15.85546875" customWidth="1"/>
  </cols>
  <sheetData>
    <row r="2" spans="1:5" ht="15.75" thickBot="1" x14ac:dyDescent="0.3">
      <c r="B2" s="1" t="s">
        <v>2</v>
      </c>
      <c r="C2" s="116" t="s">
        <v>34</v>
      </c>
    </row>
    <row r="3" spans="1:5" ht="15.75" thickBot="1" x14ac:dyDescent="0.3">
      <c r="A3" s="24" t="s">
        <v>6</v>
      </c>
      <c r="B3" s="26" t="s">
        <v>13</v>
      </c>
      <c r="C3" s="26" t="s">
        <v>17</v>
      </c>
      <c r="D3" s="26" t="s">
        <v>18</v>
      </c>
      <c r="E3" s="36" t="s">
        <v>4</v>
      </c>
    </row>
    <row r="4" spans="1:5" x14ac:dyDescent="0.25">
      <c r="A4" s="115">
        <v>46023</v>
      </c>
      <c r="B4" s="23">
        <v>120</v>
      </c>
      <c r="C4" s="3"/>
      <c r="D4" s="3">
        <v>20</v>
      </c>
      <c r="E4" s="49">
        <f>B4+C4-D4</f>
        <v>100</v>
      </c>
    </row>
    <row r="5" spans="1:5" x14ac:dyDescent="0.25">
      <c r="A5" s="14"/>
      <c r="B5" s="2"/>
      <c r="C5" s="2"/>
      <c r="D5" s="2"/>
      <c r="E5" s="18">
        <f>E4+B5+C5-D5</f>
        <v>100</v>
      </c>
    </row>
    <row r="6" spans="1:5" x14ac:dyDescent="0.25">
      <c r="A6" s="14"/>
      <c r="B6" s="2"/>
      <c r="C6" s="2"/>
      <c r="D6" s="2"/>
      <c r="E6" s="18">
        <f t="shared" ref="E6:E27" si="0">E5+B6+C6-D6</f>
        <v>100</v>
      </c>
    </row>
    <row r="7" spans="1:5" x14ac:dyDescent="0.25">
      <c r="A7" s="14"/>
      <c r="B7" s="2"/>
      <c r="C7" s="2"/>
      <c r="D7" s="2"/>
      <c r="E7" s="18">
        <f t="shared" si="0"/>
        <v>100</v>
      </c>
    </row>
    <row r="8" spans="1:5" x14ac:dyDescent="0.25">
      <c r="A8" s="2"/>
      <c r="B8" s="2"/>
      <c r="C8" s="2"/>
      <c r="D8" s="2"/>
      <c r="E8" s="18">
        <f t="shared" si="0"/>
        <v>100</v>
      </c>
    </row>
    <row r="9" spans="1:5" x14ac:dyDescent="0.25">
      <c r="A9" s="2"/>
      <c r="B9" s="2"/>
      <c r="C9" s="2"/>
      <c r="D9" s="2"/>
      <c r="E9" s="18">
        <f t="shared" si="0"/>
        <v>100</v>
      </c>
    </row>
    <row r="10" spans="1:5" x14ac:dyDescent="0.25">
      <c r="A10" s="2"/>
      <c r="B10" s="2"/>
      <c r="C10" s="2"/>
      <c r="D10" s="2"/>
      <c r="E10" s="18">
        <f t="shared" si="0"/>
        <v>100</v>
      </c>
    </row>
    <row r="11" spans="1:5" x14ac:dyDescent="0.25">
      <c r="A11" s="2"/>
      <c r="B11" s="2"/>
      <c r="C11" s="2"/>
      <c r="D11" s="2"/>
      <c r="E11" s="18">
        <f t="shared" si="0"/>
        <v>100</v>
      </c>
    </row>
    <row r="12" spans="1:5" x14ac:dyDescent="0.25">
      <c r="A12" s="2"/>
      <c r="B12" s="2"/>
      <c r="C12" s="2"/>
      <c r="D12" s="2"/>
      <c r="E12" s="18">
        <f t="shared" si="0"/>
        <v>100</v>
      </c>
    </row>
    <row r="13" spans="1:5" x14ac:dyDescent="0.25">
      <c r="A13" s="2"/>
      <c r="B13" s="2"/>
      <c r="C13" s="2"/>
      <c r="D13" s="2"/>
      <c r="E13" s="18">
        <f t="shared" si="0"/>
        <v>100</v>
      </c>
    </row>
    <row r="14" spans="1:5" x14ac:dyDescent="0.25">
      <c r="A14" s="2"/>
      <c r="B14" s="2"/>
      <c r="C14" s="2"/>
      <c r="D14" s="2"/>
      <c r="E14" s="18">
        <f t="shared" si="0"/>
        <v>100</v>
      </c>
    </row>
    <row r="15" spans="1:5" x14ac:dyDescent="0.25">
      <c r="A15" s="2"/>
      <c r="B15" s="2"/>
      <c r="C15" s="2"/>
      <c r="D15" s="2"/>
      <c r="E15" s="18">
        <f t="shared" si="0"/>
        <v>100</v>
      </c>
    </row>
    <row r="16" spans="1:5" x14ac:dyDescent="0.25">
      <c r="A16" s="2"/>
      <c r="B16" s="2"/>
      <c r="C16" s="2"/>
      <c r="D16" s="2"/>
      <c r="E16" s="18">
        <f t="shared" si="0"/>
        <v>100</v>
      </c>
    </row>
    <row r="17" spans="1:5" x14ac:dyDescent="0.25">
      <c r="A17" s="2"/>
      <c r="B17" s="2"/>
      <c r="C17" s="2"/>
      <c r="D17" s="2"/>
      <c r="E17" s="18">
        <f t="shared" si="0"/>
        <v>100</v>
      </c>
    </row>
    <row r="18" spans="1:5" x14ac:dyDescent="0.25">
      <c r="A18" s="2"/>
      <c r="B18" s="2"/>
      <c r="C18" s="2"/>
      <c r="D18" s="2"/>
      <c r="E18" s="18">
        <f t="shared" si="0"/>
        <v>100</v>
      </c>
    </row>
    <row r="19" spans="1:5" x14ac:dyDescent="0.25">
      <c r="A19" s="2"/>
      <c r="B19" s="2"/>
      <c r="C19" s="2"/>
      <c r="D19" s="2"/>
      <c r="E19" s="18">
        <f t="shared" si="0"/>
        <v>100</v>
      </c>
    </row>
    <row r="20" spans="1:5" x14ac:dyDescent="0.25">
      <c r="A20" s="2"/>
      <c r="B20" s="2"/>
      <c r="C20" s="2"/>
      <c r="D20" s="2"/>
      <c r="E20" s="18">
        <f t="shared" si="0"/>
        <v>100</v>
      </c>
    </row>
    <row r="21" spans="1:5" x14ac:dyDescent="0.25">
      <c r="A21" s="2"/>
      <c r="B21" s="2"/>
      <c r="C21" s="2"/>
      <c r="D21" s="2"/>
      <c r="E21" s="18">
        <f t="shared" si="0"/>
        <v>100</v>
      </c>
    </row>
    <row r="22" spans="1:5" x14ac:dyDescent="0.25">
      <c r="A22" s="2"/>
      <c r="B22" s="2"/>
      <c r="C22" s="2"/>
      <c r="D22" s="2"/>
      <c r="E22" s="18">
        <f t="shared" si="0"/>
        <v>100</v>
      </c>
    </row>
    <row r="23" spans="1:5" x14ac:dyDescent="0.25">
      <c r="A23" s="2"/>
      <c r="B23" s="2"/>
      <c r="C23" s="2"/>
      <c r="D23" s="2"/>
      <c r="E23" s="18">
        <f t="shared" si="0"/>
        <v>100</v>
      </c>
    </row>
    <row r="24" spans="1:5" x14ac:dyDescent="0.25">
      <c r="A24" s="2"/>
      <c r="B24" s="2"/>
      <c r="C24" s="2"/>
      <c r="D24" s="2"/>
      <c r="E24" s="18">
        <f t="shared" si="0"/>
        <v>100</v>
      </c>
    </row>
    <row r="25" spans="1:5" x14ac:dyDescent="0.25">
      <c r="A25" s="2"/>
      <c r="B25" s="2"/>
      <c r="C25" s="2"/>
      <c r="D25" s="2"/>
      <c r="E25" s="18">
        <f t="shared" si="0"/>
        <v>100</v>
      </c>
    </row>
    <row r="26" spans="1:5" x14ac:dyDescent="0.25">
      <c r="A26" s="2"/>
      <c r="B26" s="2"/>
      <c r="C26" s="2"/>
      <c r="D26" s="2"/>
      <c r="E26" s="18">
        <f t="shared" si="0"/>
        <v>100</v>
      </c>
    </row>
    <row r="27" spans="1:5" x14ac:dyDescent="0.25">
      <c r="A27" s="2"/>
      <c r="B27" s="2"/>
      <c r="C27" s="2"/>
      <c r="D27" s="2"/>
      <c r="E27" s="18">
        <f t="shared" si="0"/>
        <v>100</v>
      </c>
    </row>
    <row r="28" spans="1:5" x14ac:dyDescent="0.25">
      <c r="A28" s="40" t="s">
        <v>23</v>
      </c>
      <c r="B28" s="18">
        <f>SUM(B4:B27)</f>
        <v>120</v>
      </c>
      <c r="C28" s="18">
        <f t="shared" ref="C28:D28" si="1">SUM(C4:C27)</f>
        <v>0</v>
      </c>
      <c r="D28" s="18">
        <f t="shared" si="1"/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8"/>
  <sheetViews>
    <sheetView workbookViewId="0">
      <selection activeCell="C2" sqref="C2"/>
    </sheetView>
  </sheetViews>
  <sheetFormatPr defaultRowHeight="15" x14ac:dyDescent="0.25"/>
  <cols>
    <col min="1" max="5" width="17.42578125" customWidth="1"/>
  </cols>
  <sheetData>
    <row r="2" spans="1:5" ht="15.75" thickBot="1" x14ac:dyDescent="0.3">
      <c r="B2" s="1" t="s">
        <v>2</v>
      </c>
      <c r="C2" s="116" t="s">
        <v>34</v>
      </c>
    </row>
    <row r="3" spans="1:5" ht="15.75" thickBot="1" x14ac:dyDescent="0.3">
      <c r="A3" s="24" t="s">
        <v>6</v>
      </c>
      <c r="B3" s="26" t="s">
        <v>14</v>
      </c>
      <c r="C3" s="26" t="s">
        <v>17</v>
      </c>
      <c r="D3" s="26" t="s">
        <v>18</v>
      </c>
      <c r="E3" s="27" t="s">
        <v>4</v>
      </c>
    </row>
    <row r="4" spans="1:5" x14ac:dyDescent="0.25">
      <c r="A4" s="115">
        <v>46023</v>
      </c>
      <c r="B4" s="23">
        <f>18+100</f>
        <v>118</v>
      </c>
      <c r="C4" s="3"/>
      <c r="D4" s="3">
        <v>18</v>
      </c>
      <c r="E4" s="49">
        <f>B4+C4-D4</f>
        <v>100</v>
      </c>
    </row>
    <row r="5" spans="1:5" x14ac:dyDescent="0.25">
      <c r="A5" s="14"/>
      <c r="B5" s="2"/>
      <c r="C5" s="2"/>
      <c r="D5" s="2"/>
      <c r="E5" s="18">
        <f>E4+B5+C5-D5</f>
        <v>100</v>
      </c>
    </row>
    <row r="6" spans="1:5" x14ac:dyDescent="0.25">
      <c r="A6" s="14"/>
      <c r="B6" s="2"/>
      <c r="C6" s="2"/>
      <c r="D6" s="2"/>
      <c r="E6" s="18">
        <f t="shared" ref="E6:E27" si="0">E5+B6+C6-D6</f>
        <v>100</v>
      </c>
    </row>
    <row r="7" spans="1:5" x14ac:dyDescent="0.25">
      <c r="A7" s="14"/>
      <c r="B7" s="2"/>
      <c r="C7" s="2"/>
      <c r="D7" s="2"/>
      <c r="E7" s="18">
        <f t="shared" si="0"/>
        <v>100</v>
      </c>
    </row>
    <row r="8" spans="1:5" x14ac:dyDescent="0.25">
      <c r="A8" s="2"/>
      <c r="B8" s="2"/>
      <c r="C8" s="2"/>
      <c r="D8" s="2"/>
      <c r="E8" s="18">
        <f t="shared" si="0"/>
        <v>100</v>
      </c>
    </row>
    <row r="9" spans="1:5" x14ac:dyDescent="0.25">
      <c r="A9" s="2"/>
      <c r="B9" s="2"/>
      <c r="C9" s="2"/>
      <c r="D9" s="2"/>
      <c r="E9" s="18">
        <f t="shared" si="0"/>
        <v>100</v>
      </c>
    </row>
    <row r="10" spans="1:5" x14ac:dyDescent="0.25">
      <c r="A10" s="2"/>
      <c r="B10" s="2"/>
      <c r="C10" s="2"/>
      <c r="D10" s="2"/>
      <c r="E10" s="18">
        <f t="shared" si="0"/>
        <v>100</v>
      </c>
    </row>
    <row r="11" spans="1:5" x14ac:dyDescent="0.25">
      <c r="A11" s="2"/>
      <c r="B11" s="2"/>
      <c r="C11" s="2"/>
      <c r="D11" s="2"/>
      <c r="E11" s="18">
        <f t="shared" si="0"/>
        <v>100</v>
      </c>
    </row>
    <row r="12" spans="1:5" x14ac:dyDescent="0.25">
      <c r="A12" s="2"/>
      <c r="B12" s="2"/>
      <c r="C12" s="2"/>
      <c r="D12" s="2"/>
      <c r="E12" s="18">
        <f t="shared" si="0"/>
        <v>100</v>
      </c>
    </row>
    <row r="13" spans="1:5" x14ac:dyDescent="0.25">
      <c r="A13" s="2"/>
      <c r="B13" s="2"/>
      <c r="C13" s="2"/>
      <c r="D13" s="2"/>
      <c r="E13" s="18">
        <f t="shared" si="0"/>
        <v>100</v>
      </c>
    </row>
    <row r="14" spans="1:5" x14ac:dyDescent="0.25">
      <c r="A14" s="2"/>
      <c r="B14" s="2"/>
      <c r="C14" s="2"/>
      <c r="D14" s="2"/>
      <c r="E14" s="18">
        <f t="shared" si="0"/>
        <v>100</v>
      </c>
    </row>
    <row r="15" spans="1:5" x14ac:dyDescent="0.25">
      <c r="A15" s="2"/>
      <c r="B15" s="2"/>
      <c r="C15" s="2"/>
      <c r="D15" s="2"/>
      <c r="E15" s="18">
        <f t="shared" si="0"/>
        <v>100</v>
      </c>
    </row>
    <row r="16" spans="1:5" x14ac:dyDescent="0.25">
      <c r="A16" s="2"/>
      <c r="B16" s="2"/>
      <c r="C16" s="2"/>
      <c r="D16" s="2"/>
      <c r="E16" s="18">
        <f t="shared" si="0"/>
        <v>100</v>
      </c>
    </row>
    <row r="17" spans="1:5" x14ac:dyDescent="0.25">
      <c r="A17" s="2"/>
      <c r="B17" s="2"/>
      <c r="C17" s="2"/>
      <c r="D17" s="2"/>
      <c r="E17" s="18">
        <f t="shared" si="0"/>
        <v>100</v>
      </c>
    </row>
    <row r="18" spans="1:5" x14ac:dyDescent="0.25">
      <c r="A18" s="2"/>
      <c r="B18" s="2"/>
      <c r="C18" s="2"/>
      <c r="D18" s="2"/>
      <c r="E18" s="18">
        <f t="shared" si="0"/>
        <v>100</v>
      </c>
    </row>
    <row r="19" spans="1:5" x14ac:dyDescent="0.25">
      <c r="A19" s="2"/>
      <c r="B19" s="2"/>
      <c r="C19" s="2"/>
      <c r="D19" s="2"/>
      <c r="E19" s="18">
        <f t="shared" si="0"/>
        <v>100</v>
      </c>
    </row>
    <row r="20" spans="1:5" x14ac:dyDescent="0.25">
      <c r="A20" s="2"/>
      <c r="B20" s="2"/>
      <c r="C20" s="2"/>
      <c r="D20" s="2"/>
      <c r="E20" s="18">
        <f t="shared" si="0"/>
        <v>100</v>
      </c>
    </row>
    <row r="21" spans="1:5" x14ac:dyDescent="0.25">
      <c r="A21" s="2"/>
      <c r="B21" s="2"/>
      <c r="C21" s="2"/>
      <c r="D21" s="2"/>
      <c r="E21" s="18">
        <f t="shared" si="0"/>
        <v>100</v>
      </c>
    </row>
    <row r="22" spans="1:5" x14ac:dyDescent="0.25">
      <c r="A22" s="2"/>
      <c r="B22" s="2"/>
      <c r="C22" s="2"/>
      <c r="D22" s="2"/>
      <c r="E22" s="18">
        <f t="shared" si="0"/>
        <v>100</v>
      </c>
    </row>
    <row r="23" spans="1:5" x14ac:dyDescent="0.25">
      <c r="A23" s="2"/>
      <c r="B23" s="2"/>
      <c r="C23" s="2"/>
      <c r="D23" s="2"/>
      <c r="E23" s="18">
        <f t="shared" si="0"/>
        <v>100</v>
      </c>
    </row>
    <row r="24" spans="1:5" x14ac:dyDescent="0.25">
      <c r="A24" s="2"/>
      <c r="B24" s="2"/>
      <c r="C24" s="2"/>
      <c r="D24" s="2"/>
      <c r="E24" s="18">
        <f t="shared" si="0"/>
        <v>100</v>
      </c>
    </row>
    <row r="25" spans="1:5" x14ac:dyDescent="0.25">
      <c r="A25" s="2"/>
      <c r="B25" s="2"/>
      <c r="C25" s="2"/>
      <c r="D25" s="2"/>
      <c r="E25" s="18">
        <f t="shared" si="0"/>
        <v>100</v>
      </c>
    </row>
    <row r="26" spans="1:5" x14ac:dyDescent="0.25">
      <c r="A26" s="2"/>
      <c r="B26" s="2"/>
      <c r="C26" s="2"/>
      <c r="D26" s="2"/>
      <c r="E26" s="18">
        <f t="shared" si="0"/>
        <v>100</v>
      </c>
    </row>
    <row r="27" spans="1:5" x14ac:dyDescent="0.25">
      <c r="A27" s="16"/>
      <c r="B27" s="16"/>
      <c r="C27" s="16"/>
      <c r="D27" s="16"/>
      <c r="E27" s="18">
        <f t="shared" si="0"/>
        <v>100</v>
      </c>
    </row>
    <row r="28" spans="1:5" x14ac:dyDescent="0.25">
      <c r="A28" s="50" t="s">
        <v>23</v>
      </c>
      <c r="B28" s="48">
        <f>SUM(B4:B27)</f>
        <v>118</v>
      </c>
      <c r="C28" s="48">
        <f t="shared" ref="C28:D28" si="1">SUM(C4:C27)</f>
        <v>0</v>
      </c>
      <c r="D28" s="48">
        <f t="shared" si="1"/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8"/>
  <sheetViews>
    <sheetView workbookViewId="0">
      <selection activeCell="D5" sqref="D5"/>
    </sheetView>
  </sheetViews>
  <sheetFormatPr defaultRowHeight="15" x14ac:dyDescent="0.25"/>
  <cols>
    <col min="1" max="5" width="17.42578125" customWidth="1"/>
  </cols>
  <sheetData>
    <row r="2" spans="1:7" ht="15.75" thickBot="1" x14ac:dyDescent="0.3">
      <c r="B2" s="1" t="s">
        <v>2</v>
      </c>
      <c r="C2" s="1"/>
    </row>
    <row r="3" spans="1:7" ht="15.75" thickBot="1" x14ac:dyDescent="0.3">
      <c r="A3" s="24" t="s">
        <v>6</v>
      </c>
      <c r="B3" s="26" t="s">
        <v>19</v>
      </c>
      <c r="C3" s="26" t="s">
        <v>17</v>
      </c>
      <c r="D3" s="26" t="s">
        <v>18</v>
      </c>
      <c r="E3" s="27" t="s">
        <v>4</v>
      </c>
    </row>
    <row r="4" spans="1:7" x14ac:dyDescent="0.25">
      <c r="A4" s="115">
        <v>46023</v>
      </c>
      <c r="B4" s="23">
        <v>13</v>
      </c>
      <c r="C4" s="3"/>
      <c r="D4" s="3">
        <v>1</v>
      </c>
      <c r="E4" s="49">
        <f>B4+C4-D4</f>
        <v>12</v>
      </c>
    </row>
    <row r="5" spans="1:7" x14ac:dyDescent="0.25">
      <c r="A5" s="14"/>
      <c r="B5" s="2"/>
      <c r="C5" s="2"/>
      <c r="D5" s="2"/>
      <c r="E5" s="18">
        <f>E4+B5+C5-D5</f>
        <v>12</v>
      </c>
    </row>
    <row r="6" spans="1:7" x14ac:dyDescent="0.25">
      <c r="A6" s="14"/>
      <c r="B6" s="2"/>
      <c r="C6" s="2"/>
      <c r="D6" s="2"/>
      <c r="E6" s="18">
        <f t="shared" ref="E6:E27" si="0">E5+B6+C6-D6</f>
        <v>12</v>
      </c>
    </row>
    <row r="7" spans="1:7" x14ac:dyDescent="0.25">
      <c r="A7" s="65"/>
      <c r="B7" s="2"/>
      <c r="C7" s="2"/>
      <c r="D7" s="2"/>
      <c r="E7" s="18">
        <f t="shared" si="0"/>
        <v>12</v>
      </c>
    </row>
    <row r="8" spans="1:7" x14ac:dyDescent="0.25">
      <c r="A8" s="14"/>
      <c r="B8" s="2"/>
      <c r="C8" s="2"/>
      <c r="D8" s="2"/>
      <c r="E8" s="18">
        <f t="shared" si="0"/>
        <v>12</v>
      </c>
    </row>
    <row r="9" spans="1:7" x14ac:dyDescent="0.25">
      <c r="A9" s="14"/>
      <c r="B9" s="2"/>
      <c r="C9" s="2"/>
      <c r="D9" s="2"/>
      <c r="E9" s="18">
        <f t="shared" si="0"/>
        <v>12</v>
      </c>
    </row>
    <row r="10" spans="1:7" x14ac:dyDescent="0.25">
      <c r="A10" s="2"/>
      <c r="B10" s="2"/>
      <c r="C10" s="2"/>
      <c r="D10" s="2"/>
      <c r="E10" s="18">
        <f t="shared" si="0"/>
        <v>12</v>
      </c>
    </row>
    <row r="11" spans="1:7" x14ac:dyDescent="0.25">
      <c r="A11" s="14"/>
      <c r="B11" s="2"/>
      <c r="C11" s="2"/>
      <c r="D11" s="2"/>
      <c r="E11" s="18">
        <f t="shared" si="0"/>
        <v>12</v>
      </c>
      <c r="G11" t="s">
        <v>26</v>
      </c>
    </row>
    <row r="12" spans="1:7" x14ac:dyDescent="0.25">
      <c r="A12" s="2"/>
      <c r="B12" s="2"/>
      <c r="C12" s="2"/>
      <c r="D12" s="2"/>
      <c r="E12" s="18">
        <f t="shared" si="0"/>
        <v>12</v>
      </c>
    </row>
    <row r="13" spans="1:7" x14ac:dyDescent="0.25">
      <c r="A13" s="2"/>
      <c r="B13" s="2"/>
      <c r="C13" s="2"/>
      <c r="D13" s="2"/>
      <c r="E13" s="18">
        <f t="shared" si="0"/>
        <v>12</v>
      </c>
    </row>
    <row r="14" spans="1:7" x14ac:dyDescent="0.25">
      <c r="A14" s="14"/>
      <c r="B14" s="2"/>
      <c r="C14" s="2"/>
      <c r="D14" s="2"/>
      <c r="E14" s="18">
        <f t="shared" si="0"/>
        <v>12</v>
      </c>
    </row>
    <row r="15" spans="1:7" x14ac:dyDescent="0.25">
      <c r="A15" s="2"/>
      <c r="B15" s="2"/>
      <c r="C15" s="2"/>
      <c r="D15" s="2"/>
      <c r="E15" s="18">
        <f t="shared" si="0"/>
        <v>12</v>
      </c>
    </row>
    <row r="16" spans="1:7" x14ac:dyDescent="0.25">
      <c r="A16" s="2"/>
      <c r="B16" s="2"/>
      <c r="C16" s="2"/>
      <c r="D16" s="2"/>
      <c r="E16" s="18">
        <f t="shared" si="0"/>
        <v>12</v>
      </c>
    </row>
    <row r="17" spans="1:5" x14ac:dyDescent="0.25">
      <c r="A17" s="2"/>
      <c r="B17" s="2"/>
      <c r="C17" s="2"/>
      <c r="D17" s="2"/>
      <c r="E17" s="18">
        <f t="shared" si="0"/>
        <v>12</v>
      </c>
    </row>
    <row r="18" spans="1:5" x14ac:dyDescent="0.25">
      <c r="A18" s="2"/>
      <c r="B18" s="2"/>
      <c r="C18" s="2"/>
      <c r="D18" s="2"/>
      <c r="E18" s="18">
        <f t="shared" si="0"/>
        <v>12</v>
      </c>
    </row>
    <row r="19" spans="1:5" x14ac:dyDescent="0.25">
      <c r="A19" s="2"/>
      <c r="B19" s="2"/>
      <c r="C19" s="2"/>
      <c r="D19" s="2"/>
      <c r="E19" s="18">
        <f t="shared" si="0"/>
        <v>12</v>
      </c>
    </row>
    <row r="20" spans="1:5" x14ac:dyDescent="0.25">
      <c r="A20" s="2"/>
      <c r="B20" s="2"/>
      <c r="C20" s="2"/>
      <c r="D20" s="2"/>
      <c r="E20" s="18">
        <f t="shared" si="0"/>
        <v>12</v>
      </c>
    </row>
    <row r="21" spans="1:5" x14ac:dyDescent="0.25">
      <c r="A21" s="2"/>
      <c r="B21" s="2"/>
      <c r="C21" s="2"/>
      <c r="D21" s="2"/>
      <c r="E21" s="18">
        <f t="shared" si="0"/>
        <v>12</v>
      </c>
    </row>
    <row r="22" spans="1:5" x14ac:dyDescent="0.25">
      <c r="A22" s="2"/>
      <c r="B22" s="2"/>
      <c r="C22" s="2"/>
      <c r="D22" s="2"/>
      <c r="E22" s="18">
        <f t="shared" si="0"/>
        <v>12</v>
      </c>
    </row>
    <row r="23" spans="1:5" x14ac:dyDescent="0.25">
      <c r="A23" s="2"/>
      <c r="B23" s="2"/>
      <c r="C23" s="2"/>
      <c r="D23" s="2"/>
      <c r="E23" s="18">
        <f t="shared" si="0"/>
        <v>12</v>
      </c>
    </row>
    <row r="24" spans="1:5" x14ac:dyDescent="0.25">
      <c r="A24" s="2"/>
      <c r="B24" s="2"/>
      <c r="C24" s="2"/>
      <c r="D24" s="2"/>
      <c r="E24" s="18">
        <f t="shared" si="0"/>
        <v>12</v>
      </c>
    </row>
    <row r="25" spans="1:5" x14ac:dyDescent="0.25">
      <c r="A25" s="2"/>
      <c r="B25" s="2"/>
      <c r="C25" s="2"/>
      <c r="D25" s="2"/>
      <c r="E25" s="18">
        <f t="shared" si="0"/>
        <v>12</v>
      </c>
    </row>
    <row r="26" spans="1:5" x14ac:dyDescent="0.25">
      <c r="A26" s="2"/>
      <c r="B26" s="2"/>
      <c r="C26" s="2"/>
      <c r="D26" s="2"/>
      <c r="E26" s="18">
        <f t="shared" si="0"/>
        <v>12</v>
      </c>
    </row>
    <row r="27" spans="1:5" x14ac:dyDescent="0.25">
      <c r="A27" s="16"/>
      <c r="B27" s="16"/>
      <c r="C27" s="16"/>
      <c r="D27" s="16"/>
      <c r="E27" s="18">
        <f t="shared" si="0"/>
        <v>12</v>
      </c>
    </row>
    <row r="28" spans="1:5" x14ac:dyDescent="0.25">
      <c r="A28" s="50" t="s">
        <v>23</v>
      </c>
      <c r="B28" s="48">
        <f>SUM(B4:B27)</f>
        <v>13</v>
      </c>
      <c r="C28" s="48">
        <f t="shared" ref="C28:D28" si="1">SUM(C4:C27)</f>
        <v>0</v>
      </c>
      <c r="D28" s="48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STOCKSHEET</vt:lpstr>
      <vt:lpstr>TISSUES</vt:lpstr>
      <vt:lpstr>SAWA SOAP</vt:lpstr>
      <vt:lpstr>WATER 1LT</vt:lpstr>
      <vt:lpstr>WATER 500ML</vt:lpstr>
      <vt:lpstr>TRUST</vt:lpstr>
      <vt:lpstr>VASELINE</vt:lpstr>
      <vt:lpstr>TOOTHPASTE &amp; BRUSH</vt:lpstr>
      <vt:lpstr>SODA 500ML</vt:lpstr>
      <vt:lpstr>PREDATOR 500ML</vt:lpstr>
      <vt:lpstr>PANADOL EXTRA</vt:lpstr>
      <vt:lpstr>MARA MOJA </vt:lpstr>
      <vt:lpstr>VIM 500GM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 Perk</dc:creator>
  <cp:lastModifiedBy>Rest Perk</cp:lastModifiedBy>
  <dcterms:created xsi:type="dcterms:W3CDTF">2025-05-17T10:33:29Z</dcterms:created>
  <dcterms:modified xsi:type="dcterms:W3CDTF">2026-01-16T08:46:47Z</dcterms:modified>
</cp:coreProperties>
</file>