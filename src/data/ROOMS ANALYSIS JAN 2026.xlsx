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st Perk\Desktop\MASERA GUEST HSE DOCS\Masera 1\NEW\ROOM ANALYSIS\"/>
    </mc:Choice>
  </mc:AlternateContent>
  <bookViews>
    <workbookView xWindow="0" yWindow="0" windowWidth="19200" windowHeight="11190"/>
  </bookViews>
  <sheets>
    <sheet name="R.ANALYSIS JANUARY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7" l="1"/>
  <c r="AK3" i="7"/>
  <c r="AI33" i="7" l="1"/>
  <c r="AJ33" i="7"/>
  <c r="AI23" i="7"/>
  <c r="AJ23" i="7"/>
  <c r="AI13" i="7"/>
  <c r="AJ13" i="7"/>
  <c r="AO40" i="7"/>
  <c r="AK40" i="7"/>
  <c r="E40" i="7"/>
  <c r="AO39" i="7"/>
  <c r="E39" i="7"/>
  <c r="AK39" i="7" s="1"/>
  <c r="AO38" i="7"/>
  <c r="AK38" i="7"/>
  <c r="E38" i="7"/>
  <c r="AO37" i="7"/>
  <c r="E37" i="7"/>
  <c r="AK37" i="7" s="1"/>
  <c r="AO36" i="7"/>
  <c r="AK36" i="7"/>
  <c r="E36" i="7"/>
  <c r="AO35" i="7"/>
  <c r="E35" i="7"/>
  <c r="AK35" i="7" s="1"/>
  <c r="AO34" i="7"/>
  <c r="AK34" i="7"/>
  <c r="E34" i="7"/>
  <c r="AO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AO32" i="7"/>
  <c r="E32" i="7"/>
  <c r="AO31" i="7"/>
  <c r="E31" i="7"/>
  <c r="AO30" i="7"/>
  <c r="E30" i="7"/>
  <c r="AO29" i="7"/>
  <c r="E29" i="7"/>
  <c r="AO28" i="7"/>
  <c r="E28" i="7"/>
  <c r="AO27" i="7"/>
  <c r="E27" i="7"/>
  <c r="AO26" i="7"/>
  <c r="E26" i="7"/>
  <c r="AO25" i="7"/>
  <c r="E25" i="7"/>
  <c r="AO24" i="7"/>
  <c r="E24" i="7"/>
  <c r="AO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AO22" i="7"/>
  <c r="E22" i="7"/>
  <c r="AK22" i="7" s="1"/>
  <c r="AO21" i="7"/>
  <c r="E21" i="7"/>
  <c r="AK21" i="7" s="1"/>
  <c r="AO20" i="7"/>
  <c r="E20" i="7"/>
  <c r="AK20" i="7" s="1"/>
  <c r="AO19" i="7"/>
  <c r="E19" i="7"/>
  <c r="AK19" i="7" s="1"/>
  <c r="AO18" i="7"/>
  <c r="E18" i="7"/>
  <c r="AK18" i="7" s="1"/>
  <c r="AO17" i="7"/>
  <c r="E17" i="7"/>
  <c r="AK17" i="7" s="1"/>
  <c r="AO16" i="7"/>
  <c r="E16" i="7"/>
  <c r="AK16" i="7" s="1"/>
  <c r="AO15" i="7"/>
  <c r="E15" i="7"/>
  <c r="AK15" i="7" s="1"/>
  <c r="AO14" i="7"/>
  <c r="E14" i="7"/>
  <c r="AK14" i="7" s="1"/>
  <c r="AO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AO12" i="7"/>
  <c r="E12" i="7"/>
  <c r="AK12" i="7" s="1"/>
  <c r="AO11" i="7"/>
  <c r="E11" i="7"/>
  <c r="AK11" i="7" s="1"/>
  <c r="AO10" i="7"/>
  <c r="E10" i="7"/>
  <c r="AK10" i="7" s="1"/>
  <c r="AO9" i="7"/>
  <c r="E9" i="7"/>
  <c r="AK9" i="7" s="1"/>
  <c r="AO8" i="7"/>
  <c r="E8" i="7"/>
  <c r="AK8" i="7" s="1"/>
  <c r="AO7" i="7"/>
  <c r="E7" i="7"/>
  <c r="AK7" i="7" s="1"/>
  <c r="AO6" i="7"/>
  <c r="E6" i="7"/>
  <c r="AK6" i="7" s="1"/>
  <c r="AO5" i="7"/>
  <c r="E5" i="7"/>
  <c r="AK5" i="7" s="1"/>
  <c r="AO4" i="7"/>
  <c r="E4" i="7"/>
  <c r="AK4" i="7" s="1"/>
  <c r="AO3" i="7"/>
  <c r="AJ41" i="7" l="1"/>
  <c r="AI41" i="7"/>
  <c r="AK13" i="7"/>
  <c r="G41" i="7"/>
  <c r="I41" i="7"/>
  <c r="K41" i="7"/>
  <c r="M41" i="7"/>
  <c r="O41" i="7"/>
  <c r="Q41" i="7"/>
  <c r="S41" i="7"/>
  <c r="U41" i="7"/>
  <c r="W41" i="7"/>
  <c r="Y41" i="7"/>
  <c r="AA41" i="7"/>
  <c r="AC41" i="7"/>
  <c r="AE41" i="7"/>
  <c r="AG41" i="7"/>
  <c r="F41" i="7"/>
  <c r="H41" i="7"/>
  <c r="J41" i="7"/>
  <c r="L41" i="7"/>
  <c r="N41" i="7"/>
  <c r="P41" i="7"/>
  <c r="R41" i="7"/>
  <c r="T41" i="7"/>
  <c r="V41" i="7"/>
  <c r="X41" i="7"/>
  <c r="Z41" i="7"/>
  <c r="AB41" i="7"/>
  <c r="AD41" i="7"/>
  <c r="AF41" i="7"/>
  <c r="AH41" i="7"/>
  <c r="AK23" i="7"/>
  <c r="AK33" i="7"/>
  <c r="E13" i="7"/>
  <c r="E23" i="7"/>
  <c r="E33" i="7"/>
  <c r="AK41" i="7" l="1"/>
  <c r="E41" i="7"/>
</calcChain>
</file>

<file path=xl/sharedStrings.xml><?xml version="1.0" encoding="utf-8"?>
<sst xmlns="http://schemas.openxmlformats.org/spreadsheetml/2006/main" count="70" uniqueCount="45">
  <si>
    <t>BASIC</t>
  </si>
  <si>
    <t>2B</t>
  </si>
  <si>
    <t>2A</t>
  </si>
  <si>
    <t>TOTALS</t>
  </si>
  <si>
    <t>MPESA</t>
  </si>
  <si>
    <t>CASH</t>
  </si>
  <si>
    <t xml:space="preserve">TOTAL AMOUNTS </t>
  </si>
  <si>
    <t>NO OF NIGHTS</t>
  </si>
  <si>
    <t>RATE @ NIGHT</t>
  </si>
  <si>
    <t>TYPE OF ROOM</t>
  </si>
  <si>
    <t>ROOM NO.</t>
  </si>
  <si>
    <t>ACCOMODATION</t>
  </si>
  <si>
    <t>ROOMS ANALYIS</t>
  </si>
  <si>
    <t>3A</t>
  </si>
  <si>
    <t>3B</t>
  </si>
  <si>
    <t>4B</t>
  </si>
  <si>
    <t>4A</t>
  </si>
  <si>
    <t>5A</t>
  </si>
  <si>
    <t>5B</t>
  </si>
  <si>
    <t>6A</t>
  </si>
  <si>
    <t>6B</t>
  </si>
  <si>
    <t>G1</t>
  </si>
  <si>
    <t>STANDARDS</t>
  </si>
  <si>
    <t>F2</t>
  </si>
  <si>
    <t>G2</t>
  </si>
  <si>
    <t>G3</t>
  </si>
  <si>
    <t>G4</t>
  </si>
  <si>
    <t>G5</t>
  </si>
  <si>
    <t>G6</t>
  </si>
  <si>
    <t>G7</t>
  </si>
  <si>
    <t>G8</t>
  </si>
  <si>
    <t>G9</t>
  </si>
  <si>
    <t>F1</t>
  </si>
  <si>
    <t>F3</t>
  </si>
  <si>
    <t>F4</t>
  </si>
  <si>
    <t>F5</t>
  </si>
  <si>
    <t>F6</t>
  </si>
  <si>
    <t>F7</t>
  </si>
  <si>
    <t>F8</t>
  </si>
  <si>
    <t>F9</t>
  </si>
  <si>
    <t>SUPERIOR</t>
  </si>
  <si>
    <t>TOTAL N.O OF ROOMS</t>
  </si>
  <si>
    <t>TOTAL N.O OF SUPERIOR</t>
  </si>
  <si>
    <t>TOTAL N.O OF STANDARDS</t>
  </si>
  <si>
    <t>TOTAL N.O OF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</si>
</sst>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1" fillId="2" borderId="1" xfId="0" applyFont="1" applyFill="1" applyBorder="1"/>
    <xf numFmtId="14" fontId="1" fillId="3" borderId="1" xfId="0" applyNumberFormat="1" applyFont="1" applyFill="1" applyBorder="1"/>
    <xf numFmtId="14" fontId="1" fillId="3" borderId="2" xfId="0" applyNumberFormat="1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5" xfId="0" applyFont="1" applyFill="1" applyBorder="1"/>
    <xf numFmtId="0" fontId="0" fillId="5" borderId="4" xfId="0" applyFill="1" applyBorder="1"/>
    <xf numFmtId="0" fontId="0" fillId="5" borderId="3" xfId="0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1" fillId="5" borderId="3" xfId="0" applyFont="1" applyFill="1" applyBorder="1"/>
    <xf numFmtId="0" fontId="0" fillId="0" borderId="13" xfId="0" applyBorder="1"/>
    <xf numFmtId="0" fontId="1" fillId="6" borderId="0" xfId="0" applyFont="1" applyFill="1"/>
    <xf numFmtId="0" fontId="1" fillId="6" borderId="11" xfId="0" applyFont="1" applyFill="1" applyBorder="1"/>
    <xf numFmtId="0" fontId="0" fillId="7" borderId="1" xfId="0" applyFill="1" applyBorder="1"/>
    <xf numFmtId="0" fontId="1" fillId="5" borderId="11" xfId="0" applyFont="1" applyFill="1" applyBorder="1"/>
    <xf numFmtId="0" fontId="0" fillId="0" borderId="17" xfId="0" applyBorder="1"/>
    <xf numFmtId="0" fontId="1" fillId="6" borderId="14" xfId="0" applyFont="1" applyFill="1" applyBorder="1"/>
    <xf numFmtId="0" fontId="1" fillId="4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6" sqref="H6"/>
    </sheetView>
  </sheetViews>
  <sheetFormatPr defaultRowHeight="15" x14ac:dyDescent="0.25"/>
  <cols>
    <col min="1" max="1" width="4.7109375" customWidth="1"/>
    <col min="2" max="5" width="14" customWidth="1"/>
    <col min="6" max="6" width="9.7109375" bestFit="1" customWidth="1"/>
    <col min="7" max="14" width="9.7109375" customWidth="1"/>
    <col min="15" max="36" width="11.28515625" customWidth="1"/>
    <col min="37" max="37" width="16.85546875" customWidth="1"/>
  </cols>
  <sheetData>
    <row r="1" spans="1:41" ht="15.75" thickBot="1" x14ac:dyDescent="0.3">
      <c r="B1" s="7" t="s">
        <v>12</v>
      </c>
      <c r="AM1" s="28" t="s">
        <v>11</v>
      </c>
      <c r="AN1" s="28"/>
    </row>
    <row r="2" spans="1:41" s="7" customFormat="1" x14ac:dyDescent="0.25">
      <c r="A2" s="14"/>
      <c r="B2" s="13" t="s">
        <v>10</v>
      </c>
      <c r="C2" s="12" t="s">
        <v>9</v>
      </c>
      <c r="D2" s="12" t="s">
        <v>8</v>
      </c>
      <c r="E2" s="11" t="s">
        <v>7</v>
      </c>
      <c r="F2" s="10">
        <v>46023</v>
      </c>
      <c r="G2" s="10">
        <v>46024</v>
      </c>
      <c r="H2" s="10">
        <v>46025</v>
      </c>
      <c r="I2" s="10">
        <v>46026</v>
      </c>
      <c r="J2" s="10">
        <v>46027</v>
      </c>
      <c r="K2" s="10">
        <v>46028</v>
      </c>
      <c r="L2" s="10">
        <v>46029</v>
      </c>
      <c r="M2" s="10">
        <v>46030</v>
      </c>
      <c r="N2" s="10">
        <v>46031</v>
      </c>
      <c r="O2" s="10">
        <v>46032</v>
      </c>
      <c r="P2" s="10">
        <v>46033</v>
      </c>
      <c r="Q2" s="10">
        <v>46034</v>
      </c>
      <c r="R2" s="10">
        <v>46035</v>
      </c>
      <c r="S2" s="10">
        <v>46036</v>
      </c>
      <c r="T2" s="10">
        <v>46037</v>
      </c>
      <c r="U2" s="10">
        <v>46038</v>
      </c>
      <c r="V2" s="10">
        <v>46039</v>
      </c>
      <c r="W2" s="10">
        <v>46040</v>
      </c>
      <c r="X2" s="10">
        <v>46041</v>
      </c>
      <c r="Y2" s="10">
        <v>46042</v>
      </c>
      <c r="Z2" s="10">
        <v>46043</v>
      </c>
      <c r="AA2" s="10">
        <v>46044</v>
      </c>
      <c r="AB2" s="10">
        <v>46045</v>
      </c>
      <c r="AC2" s="10">
        <v>46046</v>
      </c>
      <c r="AD2" s="10">
        <v>46047</v>
      </c>
      <c r="AE2" s="10">
        <v>46048</v>
      </c>
      <c r="AF2" s="10">
        <v>46049</v>
      </c>
      <c r="AG2" s="10">
        <v>46050</v>
      </c>
      <c r="AH2" s="10">
        <v>46051</v>
      </c>
      <c r="AI2" s="10">
        <v>46052</v>
      </c>
      <c r="AJ2" s="10">
        <v>46053</v>
      </c>
      <c r="AK2" s="9" t="s">
        <v>6</v>
      </c>
      <c r="AM2" s="8" t="s">
        <v>5</v>
      </c>
      <c r="AN2" s="8" t="s">
        <v>4</v>
      </c>
      <c r="AO2" s="8" t="s">
        <v>3</v>
      </c>
    </row>
    <row r="3" spans="1:41" x14ac:dyDescent="0.25">
      <c r="A3" s="6"/>
      <c r="B3" s="5" t="s">
        <v>2</v>
      </c>
      <c r="C3" s="2" t="s">
        <v>0</v>
      </c>
      <c r="D3" s="2">
        <v>1000</v>
      </c>
      <c r="E3" s="4">
        <f>SUM(F3:AJ3)</f>
        <v>1</v>
      </c>
      <c r="F3" s="2">
        <v>1</v>
      </c>
      <c r="G3" s="2"/>
      <c r="H3" s="2"/>
      <c r="I3" s="2"/>
      <c r="J3" s="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4"/>
      <c r="AH3" s="2"/>
      <c r="AI3" s="2"/>
      <c r="AJ3" s="2"/>
      <c r="AK3" s="2">
        <f>E3*D3</f>
        <v>1000</v>
      </c>
      <c r="AM3" s="2"/>
      <c r="AN3" s="2"/>
      <c r="AO3" s="2">
        <f t="shared" ref="AO3:AO40" si="0">AM3+AN3</f>
        <v>0</v>
      </c>
    </row>
    <row r="4" spans="1:41" x14ac:dyDescent="0.25">
      <c r="A4" s="6"/>
      <c r="B4" s="5" t="s">
        <v>1</v>
      </c>
      <c r="C4" s="2" t="s">
        <v>0</v>
      </c>
      <c r="D4" s="2">
        <v>1000</v>
      </c>
      <c r="E4" s="4">
        <f t="shared" ref="E4:E12" si="1">SUM(F4:AJ4)</f>
        <v>2</v>
      </c>
      <c r="F4" s="2">
        <v>2</v>
      </c>
      <c r="G4" s="2"/>
      <c r="H4" s="2"/>
      <c r="I4" s="2"/>
      <c r="J4" s="2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4"/>
      <c r="AH4" s="2"/>
      <c r="AI4" s="2"/>
      <c r="AJ4" s="2"/>
      <c r="AK4" s="2">
        <f t="shared" ref="AK4:AK12" si="2">E4*D4</f>
        <v>2000</v>
      </c>
      <c r="AM4" s="2"/>
      <c r="AN4" s="2"/>
      <c r="AO4" s="2">
        <f t="shared" si="0"/>
        <v>0</v>
      </c>
    </row>
    <row r="5" spans="1:41" x14ac:dyDescent="0.25">
      <c r="A5" s="6"/>
      <c r="B5" s="5" t="s">
        <v>13</v>
      </c>
      <c r="C5" s="2" t="s">
        <v>0</v>
      </c>
      <c r="D5" s="2">
        <v>1000</v>
      </c>
      <c r="E5" s="4">
        <f t="shared" si="1"/>
        <v>0</v>
      </c>
      <c r="F5" s="2"/>
      <c r="G5" s="24"/>
      <c r="H5" s="2"/>
      <c r="I5" s="2"/>
      <c r="J5" s="24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4"/>
      <c r="AE5" s="2"/>
      <c r="AF5" s="2"/>
      <c r="AG5" s="24"/>
      <c r="AH5" s="2"/>
      <c r="AI5" s="2"/>
      <c r="AJ5" s="2"/>
      <c r="AK5" s="2">
        <f t="shared" si="2"/>
        <v>0</v>
      </c>
      <c r="AM5" s="2"/>
      <c r="AN5" s="2"/>
      <c r="AO5" s="2">
        <f t="shared" si="0"/>
        <v>0</v>
      </c>
    </row>
    <row r="6" spans="1:41" x14ac:dyDescent="0.25">
      <c r="A6" s="6"/>
      <c r="B6" s="5" t="s">
        <v>14</v>
      </c>
      <c r="C6" s="2" t="s">
        <v>0</v>
      </c>
      <c r="D6" s="2">
        <v>1000</v>
      </c>
      <c r="E6" s="4">
        <f t="shared" si="1"/>
        <v>1</v>
      </c>
      <c r="F6" s="2">
        <v>1</v>
      </c>
      <c r="G6" s="2"/>
      <c r="H6" s="2"/>
      <c r="I6" s="2"/>
      <c r="J6" s="2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4"/>
      <c r="AH6" s="2"/>
      <c r="AI6" s="2"/>
      <c r="AJ6" s="2"/>
      <c r="AK6" s="2">
        <f t="shared" si="2"/>
        <v>1000</v>
      </c>
      <c r="AM6" s="2"/>
      <c r="AN6" s="2"/>
      <c r="AO6" s="2">
        <f t="shared" si="0"/>
        <v>0</v>
      </c>
    </row>
    <row r="7" spans="1:41" x14ac:dyDescent="0.25">
      <c r="A7" s="6"/>
      <c r="B7" s="5" t="s">
        <v>16</v>
      </c>
      <c r="C7" s="2" t="s">
        <v>0</v>
      </c>
      <c r="D7" s="2">
        <v>1000</v>
      </c>
      <c r="E7" s="4">
        <f t="shared" si="1"/>
        <v>2</v>
      </c>
      <c r="F7" s="2">
        <v>1</v>
      </c>
      <c r="G7" s="24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4"/>
      <c r="AE7" s="2"/>
      <c r="AF7" s="2"/>
      <c r="AG7" s="2"/>
      <c r="AH7" s="2"/>
      <c r="AI7" s="2"/>
      <c r="AJ7" s="2"/>
      <c r="AK7" s="2">
        <f t="shared" si="2"/>
        <v>2000</v>
      </c>
      <c r="AM7" s="2"/>
      <c r="AN7" s="2"/>
      <c r="AO7" s="2">
        <f t="shared" si="0"/>
        <v>0</v>
      </c>
    </row>
    <row r="8" spans="1:41" x14ac:dyDescent="0.25">
      <c r="A8" s="6"/>
      <c r="B8" s="5" t="s">
        <v>15</v>
      </c>
      <c r="C8" s="2" t="s">
        <v>0</v>
      </c>
      <c r="D8" s="2">
        <v>1000</v>
      </c>
      <c r="E8" s="4">
        <f t="shared" si="1"/>
        <v>1</v>
      </c>
      <c r="F8" s="2">
        <v>1</v>
      </c>
      <c r="G8" s="2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4"/>
      <c r="AE8" s="2"/>
      <c r="AF8" s="2"/>
      <c r="AG8" s="2"/>
      <c r="AH8" s="2"/>
      <c r="AI8" s="2"/>
      <c r="AJ8" s="2"/>
      <c r="AK8" s="2">
        <f t="shared" si="2"/>
        <v>1000</v>
      </c>
      <c r="AM8" s="2"/>
      <c r="AN8" s="2"/>
      <c r="AO8" s="2">
        <f t="shared" si="0"/>
        <v>0</v>
      </c>
    </row>
    <row r="9" spans="1:41" ht="14.25" customHeight="1" x14ac:dyDescent="0.25">
      <c r="A9" s="6"/>
      <c r="B9" s="5" t="s">
        <v>17</v>
      </c>
      <c r="C9" s="2" t="s">
        <v>0</v>
      </c>
      <c r="D9" s="2">
        <v>1000</v>
      </c>
      <c r="E9" s="4">
        <f t="shared" si="1"/>
        <v>0</v>
      </c>
      <c r="F9" s="2"/>
      <c r="G9" s="2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4"/>
      <c r="AE9" s="2"/>
      <c r="AF9" s="2"/>
      <c r="AG9" s="2"/>
      <c r="AH9" s="2"/>
      <c r="AI9" s="2"/>
      <c r="AJ9" s="2"/>
      <c r="AK9" s="2">
        <f t="shared" si="2"/>
        <v>0</v>
      </c>
      <c r="AM9" s="2"/>
      <c r="AN9" s="2"/>
      <c r="AO9" s="2">
        <f t="shared" si="0"/>
        <v>0</v>
      </c>
    </row>
    <row r="10" spans="1:41" x14ac:dyDescent="0.25">
      <c r="A10" s="6"/>
      <c r="B10" s="5" t="s">
        <v>18</v>
      </c>
      <c r="C10" s="2" t="s">
        <v>0</v>
      </c>
      <c r="D10" s="2">
        <v>1000</v>
      </c>
      <c r="E10" s="4">
        <f t="shared" si="1"/>
        <v>0</v>
      </c>
      <c r="F10" s="2"/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4"/>
      <c r="AE10" s="2"/>
      <c r="AF10" s="2"/>
      <c r="AG10" s="2"/>
      <c r="AH10" s="2"/>
      <c r="AI10" s="2"/>
      <c r="AJ10" s="2"/>
      <c r="AK10" s="2">
        <f t="shared" si="2"/>
        <v>0</v>
      </c>
      <c r="AM10" s="2"/>
      <c r="AN10" s="2"/>
      <c r="AO10" s="2">
        <f t="shared" si="0"/>
        <v>0</v>
      </c>
    </row>
    <row r="11" spans="1:41" x14ac:dyDescent="0.25">
      <c r="A11" s="6"/>
      <c r="B11" s="5" t="s">
        <v>19</v>
      </c>
      <c r="C11" s="2" t="s">
        <v>0</v>
      </c>
      <c r="D11" s="2">
        <v>1000</v>
      </c>
      <c r="E11" s="4">
        <f t="shared" si="1"/>
        <v>0</v>
      </c>
      <c r="F11" s="2"/>
      <c r="G11" s="2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4"/>
      <c r="AE11" s="2"/>
      <c r="AF11" s="2"/>
      <c r="AG11" s="2"/>
      <c r="AH11" s="2"/>
      <c r="AI11" s="2"/>
      <c r="AJ11" s="2"/>
      <c r="AK11" s="2">
        <f t="shared" si="2"/>
        <v>0</v>
      </c>
      <c r="AM11" s="2"/>
      <c r="AN11" s="2"/>
      <c r="AO11" s="2">
        <f t="shared" si="0"/>
        <v>0</v>
      </c>
    </row>
    <row r="12" spans="1:41" x14ac:dyDescent="0.25">
      <c r="A12" s="6"/>
      <c r="B12" s="5" t="s">
        <v>20</v>
      </c>
      <c r="C12" s="2" t="s">
        <v>0</v>
      </c>
      <c r="D12" s="2">
        <v>1000</v>
      </c>
      <c r="E12" s="4">
        <f t="shared" si="1"/>
        <v>1</v>
      </c>
      <c r="F12" s="2">
        <v>1</v>
      </c>
      <c r="G12" s="24"/>
      <c r="H12" s="2"/>
      <c r="I12" s="2"/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4"/>
      <c r="AE12" s="2"/>
      <c r="AF12" s="2"/>
      <c r="AG12" s="24"/>
      <c r="AH12" s="2"/>
      <c r="AI12" s="2"/>
      <c r="AJ12" s="2"/>
      <c r="AK12" s="2">
        <f t="shared" si="2"/>
        <v>1000</v>
      </c>
      <c r="AM12" s="2"/>
      <c r="AN12" s="2"/>
      <c r="AO12" s="2">
        <f t="shared" si="0"/>
        <v>0</v>
      </c>
    </row>
    <row r="13" spans="1:41" x14ac:dyDescent="0.25">
      <c r="A13" s="6"/>
      <c r="B13" s="15"/>
      <c r="C13" s="29" t="s">
        <v>44</v>
      </c>
      <c r="D13" s="30"/>
      <c r="E13" s="16">
        <f>SUM(E3:E12)</f>
        <v>8</v>
      </c>
      <c r="F13" s="16">
        <f>SUM(F3:F12)</f>
        <v>7</v>
      </c>
      <c r="G13" s="16">
        <f t="shared" ref="G13:AJ13" si="3">SUM(G3:G12)</f>
        <v>1</v>
      </c>
      <c r="H13" s="16">
        <f t="shared" si="3"/>
        <v>0</v>
      </c>
      <c r="I13" s="16">
        <f t="shared" si="3"/>
        <v>0</v>
      </c>
      <c r="J13" s="16">
        <f t="shared" si="3"/>
        <v>0</v>
      </c>
      <c r="K13" s="16">
        <f t="shared" si="3"/>
        <v>0</v>
      </c>
      <c r="L13" s="16">
        <f t="shared" si="3"/>
        <v>0</v>
      </c>
      <c r="M13" s="16">
        <f t="shared" si="3"/>
        <v>0</v>
      </c>
      <c r="N13" s="16">
        <f t="shared" si="3"/>
        <v>0</v>
      </c>
      <c r="O13" s="16">
        <f t="shared" si="3"/>
        <v>0</v>
      </c>
      <c r="P13" s="16">
        <f t="shared" si="3"/>
        <v>0</v>
      </c>
      <c r="Q13" s="16">
        <f t="shared" si="3"/>
        <v>0</v>
      </c>
      <c r="R13" s="16">
        <f t="shared" si="3"/>
        <v>0</v>
      </c>
      <c r="S13" s="16">
        <f t="shared" si="3"/>
        <v>0</v>
      </c>
      <c r="T13" s="16">
        <f>SUM(T3:T12)</f>
        <v>0</v>
      </c>
      <c r="U13" s="16">
        <f t="shared" si="3"/>
        <v>0</v>
      </c>
      <c r="V13" s="16">
        <f t="shared" si="3"/>
        <v>0</v>
      </c>
      <c r="W13" s="16">
        <f t="shared" si="3"/>
        <v>0</v>
      </c>
      <c r="X13" s="16">
        <f t="shared" si="3"/>
        <v>0</v>
      </c>
      <c r="Y13" s="16">
        <f t="shared" si="3"/>
        <v>0</v>
      </c>
      <c r="Z13" s="16">
        <f t="shared" si="3"/>
        <v>0</v>
      </c>
      <c r="AA13" s="16">
        <f t="shared" si="3"/>
        <v>0</v>
      </c>
      <c r="AB13" s="16">
        <f t="shared" si="3"/>
        <v>0</v>
      </c>
      <c r="AC13" s="16">
        <f t="shared" si="3"/>
        <v>0</v>
      </c>
      <c r="AD13" s="16">
        <f t="shared" si="3"/>
        <v>0</v>
      </c>
      <c r="AE13" s="16">
        <f t="shared" si="3"/>
        <v>0</v>
      </c>
      <c r="AF13" s="16">
        <f t="shared" si="3"/>
        <v>0</v>
      </c>
      <c r="AG13" s="16">
        <f t="shared" si="3"/>
        <v>0</v>
      </c>
      <c r="AH13" s="16">
        <f t="shared" si="3"/>
        <v>0</v>
      </c>
      <c r="AI13" s="16">
        <f t="shared" si="3"/>
        <v>0</v>
      </c>
      <c r="AJ13" s="16">
        <f t="shared" si="3"/>
        <v>0</v>
      </c>
      <c r="AK13" s="16">
        <f>SUM(AK3:AK12)</f>
        <v>8000</v>
      </c>
      <c r="AM13" s="2"/>
      <c r="AN13" s="2"/>
      <c r="AO13" s="2">
        <f t="shared" si="0"/>
        <v>0</v>
      </c>
    </row>
    <row r="14" spans="1:41" x14ac:dyDescent="0.25">
      <c r="A14" s="6"/>
      <c r="B14" s="5" t="s">
        <v>21</v>
      </c>
      <c r="C14" s="2" t="s">
        <v>22</v>
      </c>
      <c r="D14" s="2">
        <v>2000</v>
      </c>
      <c r="E14" s="4">
        <f t="shared" ref="E14:E22" si="4">SUM(F14:AJ14)</f>
        <v>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>
        <v>1</v>
      </c>
      <c r="Q14" s="2"/>
      <c r="R14" s="2">
        <v>1</v>
      </c>
      <c r="S14" s="2">
        <v>1</v>
      </c>
      <c r="T14" s="2">
        <v>1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>
        <f t="shared" ref="AK14:AK22" si="5">E14*D14</f>
        <v>8000</v>
      </c>
      <c r="AM14" s="2"/>
      <c r="AN14" s="2"/>
      <c r="AO14" s="2">
        <f t="shared" si="0"/>
        <v>0</v>
      </c>
    </row>
    <row r="15" spans="1:41" x14ac:dyDescent="0.25">
      <c r="A15" s="6"/>
      <c r="B15" s="5" t="s">
        <v>24</v>
      </c>
      <c r="C15" s="2" t="s">
        <v>22</v>
      </c>
      <c r="D15" s="2">
        <v>2000</v>
      </c>
      <c r="E15" s="4">
        <f t="shared" si="4"/>
        <v>0</v>
      </c>
      <c r="F15" s="2"/>
      <c r="G15" s="2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4"/>
      <c r="AE15" s="2"/>
      <c r="AF15" s="2"/>
      <c r="AG15" s="2"/>
      <c r="AH15" s="2"/>
      <c r="AI15" s="2"/>
      <c r="AJ15" s="2"/>
      <c r="AK15" s="2">
        <f t="shared" si="5"/>
        <v>0</v>
      </c>
      <c r="AM15" s="2"/>
      <c r="AN15" s="2"/>
      <c r="AO15" s="2">
        <f t="shared" si="0"/>
        <v>0</v>
      </c>
    </row>
    <row r="16" spans="1:41" ht="15.75" customHeight="1" x14ac:dyDescent="0.25">
      <c r="A16" s="6"/>
      <c r="B16" s="5" t="s">
        <v>25</v>
      </c>
      <c r="C16" s="2" t="s">
        <v>22</v>
      </c>
      <c r="D16" s="2">
        <v>2000</v>
      </c>
      <c r="E16" s="4">
        <f t="shared" si="4"/>
        <v>0</v>
      </c>
      <c r="F16" s="2"/>
      <c r="G16" s="2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4"/>
      <c r="AE16" s="2"/>
      <c r="AF16" s="2"/>
      <c r="AG16" s="2"/>
      <c r="AH16" s="2"/>
      <c r="AI16" s="2"/>
      <c r="AJ16" s="2"/>
      <c r="AK16" s="2">
        <f t="shared" si="5"/>
        <v>0</v>
      </c>
      <c r="AM16" s="2"/>
      <c r="AN16" s="2"/>
      <c r="AO16" s="2">
        <f t="shared" si="0"/>
        <v>0</v>
      </c>
    </row>
    <row r="17" spans="1:41" x14ac:dyDescent="0.25">
      <c r="A17" s="6"/>
      <c r="B17" s="5" t="s">
        <v>26</v>
      </c>
      <c r="C17" s="2" t="s">
        <v>22</v>
      </c>
      <c r="D17" s="2">
        <v>2000</v>
      </c>
      <c r="E17" s="4">
        <f t="shared" si="4"/>
        <v>0</v>
      </c>
      <c r="F17" s="2"/>
      <c r="G17" s="24"/>
      <c r="H17" s="2"/>
      <c r="I17" s="2"/>
      <c r="J17" s="2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4"/>
      <c r="AE17" s="2"/>
      <c r="AF17" s="2"/>
      <c r="AG17" s="24"/>
      <c r="AH17" s="2"/>
      <c r="AI17" s="2"/>
      <c r="AJ17" s="2"/>
      <c r="AK17" s="2">
        <f t="shared" si="5"/>
        <v>0</v>
      </c>
      <c r="AM17" s="2"/>
      <c r="AN17" s="2"/>
      <c r="AO17" s="2">
        <f t="shared" si="0"/>
        <v>0</v>
      </c>
    </row>
    <row r="18" spans="1:41" x14ac:dyDescent="0.25">
      <c r="A18" s="6"/>
      <c r="B18" s="5" t="s">
        <v>27</v>
      </c>
      <c r="C18" s="2" t="s">
        <v>22</v>
      </c>
      <c r="D18" s="2">
        <v>2000</v>
      </c>
      <c r="E18" s="4">
        <f t="shared" si="4"/>
        <v>2</v>
      </c>
      <c r="F18" s="2"/>
      <c r="G18" s="24">
        <v>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4"/>
      <c r="AE18" s="2"/>
      <c r="AF18" s="2"/>
      <c r="AG18" s="2"/>
      <c r="AH18" s="2"/>
      <c r="AI18" s="2"/>
      <c r="AJ18" s="2"/>
      <c r="AK18" s="2">
        <f t="shared" si="5"/>
        <v>4000</v>
      </c>
      <c r="AM18" s="2"/>
      <c r="AN18" s="2"/>
      <c r="AO18" s="2">
        <f t="shared" si="0"/>
        <v>0</v>
      </c>
    </row>
    <row r="19" spans="1:41" x14ac:dyDescent="0.25">
      <c r="A19" s="6"/>
      <c r="B19" s="5" t="s">
        <v>28</v>
      </c>
      <c r="C19" s="2" t="s">
        <v>22</v>
      </c>
      <c r="D19" s="2">
        <v>2000</v>
      </c>
      <c r="E19" s="4">
        <f t="shared" si="4"/>
        <v>2</v>
      </c>
      <c r="F19" s="2">
        <v>1</v>
      </c>
      <c r="G19" s="24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4"/>
      <c r="AE19" s="2"/>
      <c r="AF19" s="2"/>
      <c r="AG19" s="2"/>
      <c r="AH19" s="2"/>
      <c r="AI19" s="2"/>
      <c r="AJ19" s="2"/>
      <c r="AK19" s="2">
        <f t="shared" si="5"/>
        <v>4000</v>
      </c>
      <c r="AM19" s="2"/>
      <c r="AN19" s="2"/>
      <c r="AO19" s="2">
        <f t="shared" si="0"/>
        <v>0</v>
      </c>
    </row>
    <row r="20" spans="1:41" x14ac:dyDescent="0.25">
      <c r="A20" s="6"/>
      <c r="B20" s="5" t="s">
        <v>29</v>
      </c>
      <c r="C20" s="2" t="s">
        <v>22</v>
      </c>
      <c r="D20" s="2">
        <v>2000</v>
      </c>
      <c r="E20" s="4">
        <f t="shared" si="4"/>
        <v>1</v>
      </c>
      <c r="F20" s="2">
        <v>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>
        <f t="shared" si="5"/>
        <v>2000</v>
      </c>
      <c r="AM20" s="2"/>
      <c r="AN20" s="2"/>
      <c r="AO20" s="2">
        <f t="shared" si="0"/>
        <v>0</v>
      </c>
    </row>
    <row r="21" spans="1:41" x14ac:dyDescent="0.25">
      <c r="A21" s="6"/>
      <c r="B21" s="5" t="s">
        <v>30</v>
      </c>
      <c r="C21" s="2" t="s">
        <v>22</v>
      </c>
      <c r="D21" s="2">
        <v>2000</v>
      </c>
      <c r="E21" s="4">
        <f t="shared" si="4"/>
        <v>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>
        <f t="shared" si="5"/>
        <v>0</v>
      </c>
      <c r="AM21" s="2"/>
      <c r="AN21" s="2"/>
      <c r="AO21" s="2">
        <f t="shared" si="0"/>
        <v>0</v>
      </c>
    </row>
    <row r="22" spans="1:41" x14ac:dyDescent="0.25">
      <c r="A22" s="6"/>
      <c r="B22" s="5" t="s">
        <v>31</v>
      </c>
      <c r="C22" s="2" t="s">
        <v>22</v>
      </c>
      <c r="D22" s="2">
        <v>2000</v>
      </c>
      <c r="E22" s="4">
        <f t="shared" si="4"/>
        <v>2</v>
      </c>
      <c r="F22" s="2">
        <v>2</v>
      </c>
      <c r="G22" s="2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4"/>
      <c r="AE22" s="2"/>
      <c r="AF22" s="2"/>
      <c r="AG22" s="2"/>
      <c r="AH22" s="2"/>
      <c r="AI22" s="2"/>
      <c r="AJ22" s="2"/>
      <c r="AK22" s="2">
        <f t="shared" si="5"/>
        <v>4000</v>
      </c>
      <c r="AM22" s="2"/>
      <c r="AN22" s="2"/>
      <c r="AO22" s="2">
        <f t="shared" si="0"/>
        <v>0</v>
      </c>
    </row>
    <row r="23" spans="1:41" x14ac:dyDescent="0.25">
      <c r="A23" s="6"/>
      <c r="B23" s="15"/>
      <c r="C23" s="29" t="s">
        <v>43</v>
      </c>
      <c r="D23" s="30"/>
      <c r="E23" s="16">
        <f>SUM(E14:E22)</f>
        <v>11</v>
      </c>
      <c r="F23" s="16">
        <f t="shared" ref="F23:AJ23" si="6">SUM(F14:F22)</f>
        <v>4</v>
      </c>
      <c r="G23" s="16">
        <f t="shared" si="6"/>
        <v>3</v>
      </c>
      <c r="H23" s="16">
        <f t="shared" si="6"/>
        <v>0</v>
      </c>
      <c r="I23" s="16">
        <f t="shared" si="6"/>
        <v>0</v>
      </c>
      <c r="J23" s="16">
        <f t="shared" si="6"/>
        <v>0</v>
      </c>
      <c r="K23" s="16">
        <f t="shared" si="6"/>
        <v>0</v>
      </c>
      <c r="L23" s="16">
        <f t="shared" si="6"/>
        <v>0</v>
      </c>
      <c r="M23" s="16">
        <f t="shared" si="6"/>
        <v>0</v>
      </c>
      <c r="N23" s="16">
        <f t="shared" si="6"/>
        <v>0</v>
      </c>
      <c r="O23" s="16">
        <f t="shared" si="6"/>
        <v>0</v>
      </c>
      <c r="P23" s="16">
        <f t="shared" si="6"/>
        <v>1</v>
      </c>
      <c r="Q23" s="16">
        <f t="shared" si="6"/>
        <v>0</v>
      </c>
      <c r="R23" s="16">
        <f t="shared" si="6"/>
        <v>1</v>
      </c>
      <c r="S23" s="16">
        <f t="shared" si="6"/>
        <v>1</v>
      </c>
      <c r="T23" s="16">
        <f t="shared" si="6"/>
        <v>1</v>
      </c>
      <c r="U23" s="16">
        <f t="shared" si="6"/>
        <v>0</v>
      </c>
      <c r="V23" s="16">
        <f t="shared" si="6"/>
        <v>0</v>
      </c>
      <c r="W23" s="16">
        <f t="shared" si="6"/>
        <v>0</v>
      </c>
      <c r="X23" s="16">
        <f t="shared" si="6"/>
        <v>0</v>
      </c>
      <c r="Y23" s="16">
        <f t="shared" si="6"/>
        <v>0</v>
      </c>
      <c r="Z23" s="16">
        <f t="shared" si="6"/>
        <v>0</v>
      </c>
      <c r="AA23" s="16">
        <f t="shared" si="6"/>
        <v>0</v>
      </c>
      <c r="AB23" s="16">
        <f t="shared" si="6"/>
        <v>0</v>
      </c>
      <c r="AC23" s="16">
        <f t="shared" si="6"/>
        <v>0</v>
      </c>
      <c r="AD23" s="16">
        <f t="shared" si="6"/>
        <v>0</v>
      </c>
      <c r="AE23" s="16">
        <f t="shared" si="6"/>
        <v>0</v>
      </c>
      <c r="AF23" s="16">
        <f t="shared" si="6"/>
        <v>0</v>
      </c>
      <c r="AG23" s="16">
        <f t="shared" si="6"/>
        <v>0</v>
      </c>
      <c r="AH23" s="16">
        <f t="shared" si="6"/>
        <v>0</v>
      </c>
      <c r="AI23" s="16">
        <f t="shared" si="6"/>
        <v>0</v>
      </c>
      <c r="AJ23" s="16">
        <f t="shared" si="6"/>
        <v>0</v>
      </c>
      <c r="AK23" s="16">
        <f>SUM(AK14:AK22)</f>
        <v>22000</v>
      </c>
      <c r="AM23" s="2"/>
      <c r="AN23" s="2"/>
      <c r="AO23" s="2">
        <f t="shared" si="0"/>
        <v>0</v>
      </c>
    </row>
    <row r="24" spans="1:41" x14ac:dyDescent="0.25">
      <c r="A24" s="6"/>
      <c r="B24" s="5" t="s">
        <v>32</v>
      </c>
      <c r="C24" s="2" t="s">
        <v>40</v>
      </c>
      <c r="D24" s="2">
        <v>2300</v>
      </c>
      <c r="E24" s="4">
        <f t="shared" ref="E24:E32" si="7">SUM(F24:AJ24)</f>
        <v>1</v>
      </c>
      <c r="F24" s="2"/>
      <c r="G24" s="2"/>
      <c r="H24" s="2"/>
      <c r="I24" s="2"/>
      <c r="J24" s="2"/>
      <c r="K24" s="2">
        <v>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M24" s="2"/>
      <c r="AN24" s="2"/>
      <c r="AO24" s="2">
        <f t="shared" si="0"/>
        <v>0</v>
      </c>
    </row>
    <row r="25" spans="1:41" x14ac:dyDescent="0.25">
      <c r="A25" s="6"/>
      <c r="B25" s="5" t="s">
        <v>23</v>
      </c>
      <c r="C25" s="2" t="s">
        <v>40</v>
      </c>
      <c r="D25" s="2">
        <v>2300</v>
      </c>
      <c r="E25" s="4">
        <f t="shared" si="7"/>
        <v>1</v>
      </c>
      <c r="F25" s="2">
        <v>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M25" s="2"/>
      <c r="AN25" s="2"/>
      <c r="AO25" s="2">
        <f t="shared" si="0"/>
        <v>0</v>
      </c>
    </row>
    <row r="26" spans="1:41" x14ac:dyDescent="0.25">
      <c r="A26" s="6"/>
      <c r="B26" s="5" t="s">
        <v>33</v>
      </c>
      <c r="C26" s="2" t="s">
        <v>40</v>
      </c>
      <c r="D26" s="2">
        <v>2300</v>
      </c>
      <c r="E26" s="4">
        <f t="shared" si="7"/>
        <v>0</v>
      </c>
      <c r="F26" s="2"/>
      <c r="G26" s="2"/>
      <c r="H26" s="2"/>
      <c r="I26" s="2"/>
      <c r="J26" s="2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4"/>
      <c r="AH26" s="2"/>
      <c r="AI26" s="2"/>
      <c r="AJ26" s="2"/>
      <c r="AK26" s="2"/>
      <c r="AM26" s="2"/>
      <c r="AN26" s="2"/>
      <c r="AO26" s="2">
        <f t="shared" si="0"/>
        <v>0</v>
      </c>
    </row>
    <row r="27" spans="1:41" x14ac:dyDescent="0.25">
      <c r="A27" s="6"/>
      <c r="B27" s="5" t="s">
        <v>34</v>
      </c>
      <c r="C27" s="2" t="s">
        <v>40</v>
      </c>
      <c r="D27" s="2">
        <v>2300</v>
      </c>
      <c r="E27" s="4">
        <f t="shared" si="7"/>
        <v>0</v>
      </c>
      <c r="F27" s="2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4"/>
      <c r="AE27" s="2"/>
      <c r="AF27" s="2"/>
      <c r="AG27" s="2"/>
      <c r="AH27" s="2"/>
      <c r="AI27" s="2"/>
      <c r="AJ27" s="2"/>
      <c r="AK27" s="2"/>
      <c r="AM27" s="2"/>
      <c r="AN27" s="2"/>
      <c r="AO27" s="2">
        <f t="shared" si="0"/>
        <v>0</v>
      </c>
    </row>
    <row r="28" spans="1:41" x14ac:dyDescent="0.25">
      <c r="A28" s="6"/>
      <c r="B28" s="5" t="s">
        <v>35</v>
      </c>
      <c r="C28" s="2" t="s">
        <v>40</v>
      </c>
      <c r="D28" s="2">
        <v>2300</v>
      </c>
      <c r="E28" s="4">
        <f t="shared" si="7"/>
        <v>1</v>
      </c>
      <c r="F28" s="2">
        <v>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M28" s="2"/>
      <c r="AN28" s="2"/>
      <c r="AO28" s="2">
        <f t="shared" si="0"/>
        <v>0</v>
      </c>
    </row>
    <row r="29" spans="1:41" x14ac:dyDescent="0.25">
      <c r="A29" s="6"/>
      <c r="B29" s="5" t="s">
        <v>36</v>
      </c>
      <c r="C29" s="2" t="s">
        <v>40</v>
      </c>
      <c r="D29" s="2">
        <v>2300</v>
      </c>
      <c r="E29" s="4">
        <f t="shared" si="7"/>
        <v>1</v>
      </c>
      <c r="F29" s="2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M29" s="2"/>
      <c r="AN29" s="2"/>
      <c r="AO29" s="2">
        <f t="shared" si="0"/>
        <v>0</v>
      </c>
    </row>
    <row r="30" spans="1:41" x14ac:dyDescent="0.25">
      <c r="A30" s="6"/>
      <c r="B30" s="5" t="s">
        <v>37</v>
      </c>
      <c r="C30" s="2" t="s">
        <v>40</v>
      </c>
      <c r="D30" s="2">
        <v>2300</v>
      </c>
      <c r="E30" s="4">
        <f t="shared" si="7"/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M30" s="2"/>
      <c r="AN30" s="2"/>
      <c r="AO30" s="2">
        <f t="shared" si="0"/>
        <v>0</v>
      </c>
    </row>
    <row r="31" spans="1:41" x14ac:dyDescent="0.25">
      <c r="A31" s="6"/>
      <c r="B31" s="5" t="s">
        <v>38</v>
      </c>
      <c r="C31" s="2" t="s">
        <v>40</v>
      </c>
      <c r="D31" s="2">
        <v>2300</v>
      </c>
      <c r="E31" s="4">
        <f t="shared" si="7"/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M31" s="2"/>
      <c r="AN31" s="2"/>
      <c r="AO31" s="2">
        <f t="shared" si="0"/>
        <v>0</v>
      </c>
    </row>
    <row r="32" spans="1:41" x14ac:dyDescent="0.25">
      <c r="A32" s="6"/>
      <c r="B32" s="5" t="s">
        <v>39</v>
      </c>
      <c r="C32" s="2" t="s">
        <v>40</v>
      </c>
      <c r="D32" s="2">
        <v>2300</v>
      </c>
      <c r="E32" s="4">
        <f t="shared" si="7"/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M32" s="2"/>
      <c r="AN32" s="2"/>
      <c r="AO32" s="2">
        <f t="shared" si="0"/>
        <v>0</v>
      </c>
    </row>
    <row r="33" spans="1:41" x14ac:dyDescent="0.25">
      <c r="A33" s="6"/>
      <c r="B33" s="15"/>
      <c r="C33" s="29" t="s">
        <v>42</v>
      </c>
      <c r="D33" s="30"/>
      <c r="E33" s="20">
        <f>SUM(E24:E32)</f>
        <v>4</v>
      </c>
      <c r="F33" s="20">
        <f t="shared" ref="F33:AJ33" si="8">SUM(F24:F32)</f>
        <v>3</v>
      </c>
      <c r="G33" s="20">
        <f t="shared" si="8"/>
        <v>0</v>
      </c>
      <c r="H33" s="20">
        <f t="shared" si="8"/>
        <v>0</v>
      </c>
      <c r="I33" s="20">
        <f t="shared" si="8"/>
        <v>0</v>
      </c>
      <c r="J33" s="20">
        <f t="shared" si="8"/>
        <v>0</v>
      </c>
      <c r="K33" s="20">
        <f t="shared" si="8"/>
        <v>1</v>
      </c>
      <c r="L33" s="20">
        <f t="shared" si="8"/>
        <v>0</v>
      </c>
      <c r="M33" s="20">
        <f t="shared" si="8"/>
        <v>0</v>
      </c>
      <c r="N33" s="20">
        <f t="shared" si="8"/>
        <v>0</v>
      </c>
      <c r="O33" s="20">
        <f t="shared" si="8"/>
        <v>0</v>
      </c>
      <c r="P33" s="20">
        <f t="shared" si="8"/>
        <v>0</v>
      </c>
      <c r="Q33" s="20">
        <f t="shared" si="8"/>
        <v>0</v>
      </c>
      <c r="R33" s="20">
        <f t="shared" si="8"/>
        <v>0</v>
      </c>
      <c r="S33" s="20">
        <f t="shared" si="8"/>
        <v>0</v>
      </c>
      <c r="T33" s="20">
        <f t="shared" si="8"/>
        <v>0</v>
      </c>
      <c r="U33" s="20">
        <f t="shared" si="8"/>
        <v>0</v>
      </c>
      <c r="V33" s="20">
        <f t="shared" si="8"/>
        <v>0</v>
      </c>
      <c r="W33" s="20">
        <f t="shared" si="8"/>
        <v>0</v>
      </c>
      <c r="X33" s="20">
        <f t="shared" si="8"/>
        <v>0</v>
      </c>
      <c r="Y33" s="20">
        <f t="shared" si="8"/>
        <v>0</v>
      </c>
      <c r="Z33" s="20">
        <f t="shared" si="8"/>
        <v>0</v>
      </c>
      <c r="AA33" s="20">
        <f t="shared" si="8"/>
        <v>0</v>
      </c>
      <c r="AB33" s="20">
        <f t="shared" si="8"/>
        <v>0</v>
      </c>
      <c r="AC33" s="20">
        <f t="shared" si="8"/>
        <v>0</v>
      </c>
      <c r="AD33" s="20">
        <f t="shared" si="8"/>
        <v>0</v>
      </c>
      <c r="AE33" s="20">
        <f t="shared" si="8"/>
        <v>0</v>
      </c>
      <c r="AF33" s="20">
        <f t="shared" si="8"/>
        <v>0</v>
      </c>
      <c r="AG33" s="20">
        <f t="shared" si="8"/>
        <v>0</v>
      </c>
      <c r="AH33" s="20">
        <f t="shared" si="8"/>
        <v>0</v>
      </c>
      <c r="AI33" s="20">
        <f t="shared" si="8"/>
        <v>0</v>
      </c>
      <c r="AJ33" s="20">
        <f t="shared" si="8"/>
        <v>0</v>
      </c>
      <c r="AK33" s="20">
        <f>SUM(AK24:AK32)</f>
        <v>0</v>
      </c>
      <c r="AM33" s="2"/>
      <c r="AN33" s="2"/>
      <c r="AO33" s="2">
        <f t="shared" si="0"/>
        <v>0</v>
      </c>
    </row>
    <row r="34" spans="1:41" x14ac:dyDescent="0.25">
      <c r="A34" s="6"/>
      <c r="B34" s="5"/>
      <c r="C34" s="2"/>
      <c r="D34" s="2"/>
      <c r="E34" s="4">
        <f t="shared" ref="E34:E40" si="9">SUM(F34:AJ34)</f>
        <v>0</v>
      </c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>
        <f t="shared" ref="AK34:AK40" si="10">E34*D34</f>
        <v>0</v>
      </c>
      <c r="AM34" s="2"/>
      <c r="AN34" s="2"/>
      <c r="AO34" s="2">
        <f t="shared" si="0"/>
        <v>0</v>
      </c>
    </row>
    <row r="35" spans="1:41" x14ac:dyDescent="0.25">
      <c r="A35" s="6"/>
      <c r="B35" s="5"/>
      <c r="C35" s="2"/>
      <c r="D35" s="2"/>
      <c r="E35" s="4">
        <f t="shared" si="9"/>
        <v>0</v>
      </c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>
        <f t="shared" si="10"/>
        <v>0</v>
      </c>
      <c r="AM35" s="2"/>
      <c r="AN35" s="2"/>
      <c r="AO35" s="2">
        <f t="shared" si="0"/>
        <v>0</v>
      </c>
    </row>
    <row r="36" spans="1:41" x14ac:dyDescent="0.25">
      <c r="A36" s="6"/>
      <c r="B36" s="5"/>
      <c r="C36" s="2"/>
      <c r="D36" s="2"/>
      <c r="E36" s="4">
        <f t="shared" si="9"/>
        <v>0</v>
      </c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>
        <f t="shared" si="10"/>
        <v>0</v>
      </c>
      <c r="AM36" s="2"/>
      <c r="AN36" s="2"/>
      <c r="AO36" s="2">
        <f t="shared" si="0"/>
        <v>0</v>
      </c>
    </row>
    <row r="37" spans="1:41" x14ac:dyDescent="0.25">
      <c r="A37" s="6"/>
      <c r="B37" s="5"/>
      <c r="C37" s="2"/>
      <c r="D37" s="2"/>
      <c r="E37" s="4">
        <f t="shared" si="9"/>
        <v>0</v>
      </c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>
        <f t="shared" si="10"/>
        <v>0</v>
      </c>
      <c r="AM37" s="2"/>
      <c r="AN37" s="2"/>
      <c r="AO37" s="2">
        <f t="shared" si="0"/>
        <v>0</v>
      </c>
    </row>
    <row r="38" spans="1:41" x14ac:dyDescent="0.25">
      <c r="A38" s="6"/>
      <c r="B38" s="5"/>
      <c r="C38" s="2"/>
      <c r="D38" s="2"/>
      <c r="E38" s="4">
        <f t="shared" si="9"/>
        <v>0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>
        <f t="shared" si="10"/>
        <v>0</v>
      </c>
      <c r="AM38" s="2"/>
      <c r="AN38" s="2"/>
      <c r="AO38" s="2">
        <f t="shared" si="0"/>
        <v>0</v>
      </c>
    </row>
    <row r="39" spans="1:41" x14ac:dyDescent="0.25">
      <c r="A39" s="6"/>
      <c r="B39" s="5"/>
      <c r="C39" s="2"/>
      <c r="D39" s="2"/>
      <c r="E39" s="4">
        <f t="shared" si="9"/>
        <v>0</v>
      </c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>
        <f t="shared" si="10"/>
        <v>0</v>
      </c>
      <c r="AM39" s="2"/>
      <c r="AN39" s="2"/>
      <c r="AO39" s="2">
        <f t="shared" si="0"/>
        <v>0</v>
      </c>
    </row>
    <row r="40" spans="1:41" ht="15.75" thickBot="1" x14ac:dyDescent="0.3">
      <c r="A40" s="26"/>
      <c r="B40" s="21"/>
      <c r="C40" s="18"/>
      <c r="D40" s="18"/>
      <c r="E40" s="19">
        <f t="shared" si="9"/>
        <v>0</v>
      </c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2">
        <f t="shared" si="10"/>
        <v>0</v>
      </c>
      <c r="AM40" s="2"/>
      <c r="AN40" s="2"/>
      <c r="AO40" s="2">
        <f t="shared" si="0"/>
        <v>0</v>
      </c>
    </row>
    <row r="41" spans="1:41" s="22" customFormat="1" ht="15.75" thickBot="1" x14ac:dyDescent="0.3">
      <c r="A41" s="27"/>
      <c r="B41" s="23"/>
      <c r="C41" s="31" t="s">
        <v>41</v>
      </c>
      <c r="D41" s="32"/>
      <c r="E41" s="23">
        <f>E33+E23+E13</f>
        <v>23</v>
      </c>
      <c r="F41" s="23">
        <f>F33+F23+F13</f>
        <v>14</v>
      </c>
      <c r="G41" s="23">
        <f t="shared" ref="G41:AK41" si="11">G33+G23+G13</f>
        <v>4</v>
      </c>
      <c r="H41" s="23">
        <f t="shared" si="11"/>
        <v>0</v>
      </c>
      <c r="I41" s="23">
        <f t="shared" si="11"/>
        <v>0</v>
      </c>
      <c r="J41" s="23">
        <f t="shared" si="11"/>
        <v>0</v>
      </c>
      <c r="K41" s="23">
        <f t="shared" si="11"/>
        <v>1</v>
      </c>
      <c r="L41" s="23">
        <f t="shared" si="11"/>
        <v>0</v>
      </c>
      <c r="M41" s="23">
        <f t="shared" si="11"/>
        <v>0</v>
      </c>
      <c r="N41" s="23">
        <f t="shared" si="11"/>
        <v>0</v>
      </c>
      <c r="O41" s="23">
        <f t="shared" si="11"/>
        <v>0</v>
      </c>
      <c r="P41" s="23">
        <f t="shared" si="11"/>
        <v>1</v>
      </c>
      <c r="Q41" s="23">
        <f t="shared" si="11"/>
        <v>0</v>
      </c>
      <c r="R41" s="23">
        <f t="shared" si="11"/>
        <v>1</v>
      </c>
      <c r="S41" s="23">
        <f t="shared" si="11"/>
        <v>1</v>
      </c>
      <c r="T41" s="23">
        <f t="shared" si="11"/>
        <v>1</v>
      </c>
      <c r="U41" s="23">
        <f t="shared" si="11"/>
        <v>0</v>
      </c>
      <c r="V41" s="23">
        <f t="shared" si="11"/>
        <v>0</v>
      </c>
      <c r="W41" s="23">
        <f t="shared" si="11"/>
        <v>0</v>
      </c>
      <c r="X41" s="23">
        <f t="shared" si="11"/>
        <v>0</v>
      </c>
      <c r="Y41" s="23">
        <f t="shared" si="11"/>
        <v>0</v>
      </c>
      <c r="Z41" s="23">
        <f t="shared" si="11"/>
        <v>0</v>
      </c>
      <c r="AA41" s="23">
        <f t="shared" si="11"/>
        <v>0</v>
      </c>
      <c r="AB41" s="23">
        <f t="shared" si="11"/>
        <v>0</v>
      </c>
      <c r="AC41" s="23">
        <f t="shared" si="11"/>
        <v>0</v>
      </c>
      <c r="AD41" s="25">
        <f t="shared" si="11"/>
        <v>0</v>
      </c>
      <c r="AE41" s="23">
        <f t="shared" si="11"/>
        <v>0</v>
      </c>
      <c r="AF41" s="23">
        <f t="shared" si="11"/>
        <v>0</v>
      </c>
      <c r="AG41" s="23">
        <f t="shared" si="11"/>
        <v>0</v>
      </c>
      <c r="AH41" s="23">
        <f t="shared" si="11"/>
        <v>0</v>
      </c>
      <c r="AI41" s="23">
        <f t="shared" si="11"/>
        <v>0</v>
      </c>
      <c r="AJ41" s="23">
        <f t="shared" si="11"/>
        <v>0</v>
      </c>
      <c r="AK41" s="23">
        <f t="shared" si="11"/>
        <v>30000</v>
      </c>
    </row>
    <row r="42" spans="1:41" x14ac:dyDescent="0.25">
      <c r="A42" s="1"/>
      <c r="B42" s="1"/>
      <c r="C42" s="1"/>
      <c r="D42" s="1"/>
      <c r="E42" s="1"/>
    </row>
    <row r="43" spans="1:41" x14ac:dyDescent="0.25">
      <c r="A43" s="1"/>
      <c r="B43" s="1"/>
      <c r="C43" s="1"/>
      <c r="D43" s="1"/>
      <c r="E43" s="1"/>
    </row>
    <row r="44" spans="1:41" x14ac:dyDescent="0.25">
      <c r="A44" s="1"/>
      <c r="B44" s="1"/>
      <c r="C44" s="1"/>
      <c r="D44" s="1"/>
      <c r="E44" s="1"/>
    </row>
    <row r="45" spans="1:41" x14ac:dyDescent="0.25">
      <c r="A45" s="1"/>
      <c r="B45" s="1"/>
      <c r="C45" s="1"/>
      <c r="D45" s="1"/>
      <c r="E45" s="1"/>
    </row>
    <row r="46" spans="1:41" x14ac:dyDescent="0.25">
      <c r="A46" s="1"/>
      <c r="B46" s="1"/>
      <c r="C46" s="1"/>
      <c r="D46" s="1"/>
      <c r="E46" s="1"/>
    </row>
    <row r="47" spans="1:41" x14ac:dyDescent="0.25">
      <c r="A47" s="1"/>
      <c r="B47" s="1"/>
      <c r="C47" s="1"/>
      <c r="D47" s="1"/>
      <c r="E47" s="1"/>
    </row>
    <row r="48" spans="1:41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</sheetData>
  <mergeCells count="5">
    <mergeCell ref="AM1:AN1"/>
    <mergeCell ref="C13:D13"/>
    <mergeCell ref="C23:D23"/>
    <mergeCell ref="C33:D33"/>
    <mergeCell ref="C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R.ANALYSIS 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 Perk</dc:creator>
  <cp:lastModifiedBy>Rest Perk</cp:lastModifiedBy>
  <dcterms:created xsi:type="dcterms:W3CDTF">2025-06-02T11:11:35Z</dcterms:created>
  <dcterms:modified xsi:type="dcterms:W3CDTF">2026-01-16T15:32:07Z</dcterms:modified>
</cp:coreProperties>
</file>