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st Perk\Desktop\MASERA GUEST HSE DOCS\Masera 1\NEW\PURCHASES &amp; EXPENSES 2025 - 2026\"/>
    </mc:Choice>
  </mc:AlternateContent>
  <bookViews>
    <workbookView xWindow="0" yWindow="0" windowWidth="20490" windowHeight="7365" activeTab="2"/>
  </bookViews>
  <sheets>
    <sheet name="SUMMARY E. REPORT" sheetId="2" r:id="rId1"/>
    <sheet name="LIST OF CATEGORIES" sheetId="3" r:id="rId2"/>
    <sheet name="JANUARY" sheetId="1" r:id="rId3"/>
  </sheets>
  <definedNames>
    <definedName name="_xlnm._FilterDatabase" localSheetId="2" hidden="1">JANUARY!$F$3:$F$32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1" l="1"/>
  <c r="I23" i="1"/>
  <c r="I25" i="1" l="1"/>
  <c r="J23" i="1"/>
  <c r="I19" i="1"/>
  <c r="D64" i="2" l="1"/>
  <c r="E64" i="2"/>
  <c r="C64" i="2"/>
  <c r="D49" i="2"/>
  <c r="E49" i="2"/>
  <c r="C49" i="2"/>
  <c r="D34" i="2"/>
  <c r="E34" i="2"/>
  <c r="C34" i="2"/>
  <c r="D19" i="2"/>
  <c r="E19" i="2"/>
  <c r="C19" i="2"/>
  <c r="K100" i="1"/>
  <c r="L100" i="1"/>
  <c r="J17" i="1"/>
  <c r="J19" i="1"/>
  <c r="J20" i="1"/>
  <c r="J21" i="1"/>
  <c r="J22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8" i="1"/>
  <c r="J100" i="1" l="1"/>
</calcChain>
</file>

<file path=xl/sharedStrings.xml><?xml version="1.0" encoding="utf-8"?>
<sst xmlns="http://schemas.openxmlformats.org/spreadsheetml/2006/main" count="261" uniqueCount="141">
  <si>
    <t>REST PERK LIMITED</t>
  </si>
  <si>
    <t xml:space="preserve">DATE </t>
  </si>
  <si>
    <t>ITEM PURCHASED</t>
  </si>
  <si>
    <t>CATEGORY</t>
  </si>
  <si>
    <t>SUPPLIER</t>
  </si>
  <si>
    <t>QUANTITY</t>
  </si>
  <si>
    <t>UNIT COST</t>
  </si>
  <si>
    <t>TOTAL COST</t>
  </si>
  <si>
    <t>eTIMS AMOUNT</t>
  </si>
  <si>
    <t>NON-eTIMS AMOUNT</t>
  </si>
  <si>
    <t>eTIMS INVOICE NO</t>
  </si>
  <si>
    <t>Furniture, Fixtures &amp; Equipment (FFE)</t>
  </si>
  <si>
    <t>Beds &amp; mattresses</t>
  </si>
  <si>
    <t>Chairs &amp; tables</t>
  </si>
  <si>
    <t>Utilities</t>
  </si>
  <si>
    <t>Electricity</t>
  </si>
  <si>
    <t>Water</t>
  </si>
  <si>
    <t>Internet / Wi-Fi</t>
  </si>
  <si>
    <t>Garbage collection</t>
  </si>
  <si>
    <t>Repairs &amp; Maintenance</t>
  </si>
  <si>
    <t>Plumbing repairs</t>
  </si>
  <si>
    <t>Electrical repairs</t>
  </si>
  <si>
    <t>Painting &amp; minor renovations</t>
  </si>
  <si>
    <t>General handyman services</t>
  </si>
  <si>
    <t>Furniture repairs</t>
  </si>
  <si>
    <t>Fumigation &amp; Pest Control</t>
  </si>
  <si>
    <t>Termite control</t>
  </si>
  <si>
    <t>Bed bug fumigation</t>
  </si>
  <si>
    <t>Rodent control</t>
  </si>
  <si>
    <t>Mosquito control</t>
  </si>
  <si>
    <t>Cleaning Supplies</t>
  </si>
  <si>
    <t>Detergents</t>
  </si>
  <si>
    <t>Guest Amenities</t>
  </si>
  <si>
    <t>Tissues</t>
  </si>
  <si>
    <t>Soap</t>
  </si>
  <si>
    <t>Drinking Water</t>
  </si>
  <si>
    <t>Trust</t>
  </si>
  <si>
    <t>Toothpaste&amp;Brush</t>
  </si>
  <si>
    <t>Soda</t>
  </si>
  <si>
    <t>Administration</t>
  </si>
  <si>
    <t>Printing</t>
  </si>
  <si>
    <t>Airtime</t>
  </si>
  <si>
    <t>Staff Costs</t>
  </si>
  <si>
    <t>Sugar</t>
  </si>
  <si>
    <t>T.Leaves</t>
  </si>
  <si>
    <t>D.Chocolate</t>
  </si>
  <si>
    <t>Predator</t>
  </si>
  <si>
    <t>Mara Moja</t>
  </si>
  <si>
    <t>Panadol</t>
  </si>
  <si>
    <t>Vim</t>
  </si>
  <si>
    <t>Miscellaneous</t>
  </si>
  <si>
    <t>Towels</t>
  </si>
  <si>
    <t>Transport</t>
  </si>
  <si>
    <t>Fuel</t>
  </si>
  <si>
    <t>Housing keeping</t>
  </si>
  <si>
    <t>Duvets</t>
  </si>
  <si>
    <t>Duvets Cover</t>
  </si>
  <si>
    <t>Bedsheets</t>
  </si>
  <si>
    <t>Pillow cases</t>
  </si>
  <si>
    <t>Pillows</t>
  </si>
  <si>
    <t>Slippers</t>
  </si>
  <si>
    <t>Dustpins</t>
  </si>
  <si>
    <t>Mosquito Nets</t>
  </si>
  <si>
    <t>Licenses, Fees &amp; Compliance</t>
  </si>
  <si>
    <t>Tourism Levy</t>
  </si>
  <si>
    <t>County G Fees</t>
  </si>
  <si>
    <t>B Permits</t>
  </si>
  <si>
    <t xml:space="preserve">TOTAL COST </t>
  </si>
  <si>
    <t>JANUARY</t>
  </si>
  <si>
    <t>FEBRUARY</t>
  </si>
  <si>
    <t>MARCH</t>
  </si>
  <si>
    <t>APRIL</t>
  </si>
  <si>
    <t>-</t>
  </si>
  <si>
    <t>Curtains &amp; Sheers</t>
  </si>
  <si>
    <t>TVs &amp; Remote Contols</t>
  </si>
  <si>
    <t>General Compound Cleaning</t>
  </si>
  <si>
    <t xml:space="preserve">Sweeping </t>
  </si>
  <si>
    <t>Weeding</t>
  </si>
  <si>
    <t>Trimming</t>
  </si>
  <si>
    <t>Scrubbing</t>
  </si>
  <si>
    <t>Staff &amp; Visitor Costs</t>
  </si>
  <si>
    <t>Vaseline</t>
  </si>
  <si>
    <t>Food</t>
  </si>
  <si>
    <t>Omo</t>
  </si>
  <si>
    <t>Softner</t>
  </si>
  <si>
    <t>Liquid Soap</t>
  </si>
  <si>
    <t>Staple pin</t>
  </si>
  <si>
    <t>Paper rim</t>
  </si>
  <si>
    <t>TOTAL AMOUNTS</t>
  </si>
  <si>
    <t xml:space="preserve">Computers </t>
  </si>
  <si>
    <t>Recepts books</t>
  </si>
  <si>
    <t>Expense &amp; Purchased Items summary report from January to December</t>
  </si>
  <si>
    <t>Tourism authority</t>
  </si>
  <si>
    <t>Laundry</t>
  </si>
  <si>
    <t>General Compound &amp; Cleaning</t>
  </si>
  <si>
    <t>Rates</t>
  </si>
  <si>
    <t>Trading Licenses</t>
  </si>
  <si>
    <t>Security</t>
  </si>
  <si>
    <t xml:space="preserve">Naivas </t>
  </si>
  <si>
    <t>0933-14100182636</t>
  </si>
  <si>
    <t>REMARKS</t>
  </si>
  <si>
    <t>Visistors food</t>
  </si>
  <si>
    <t>Printer</t>
  </si>
  <si>
    <t>Josmis Suppliers Ltd</t>
  </si>
  <si>
    <t>Water 500ml</t>
  </si>
  <si>
    <t>Water bottled 500ml</t>
  </si>
  <si>
    <t>Petrol</t>
  </si>
  <si>
    <t>KRACU0300007502/47864</t>
  </si>
  <si>
    <t>Notrox Resources Ltd</t>
  </si>
  <si>
    <t xml:space="preserve">Safaricom </t>
  </si>
  <si>
    <t>Trio Simex</t>
  </si>
  <si>
    <t>SIM Cards</t>
  </si>
  <si>
    <t>Simcard replacements</t>
  </si>
  <si>
    <t>Hopeland Hardware</t>
  </si>
  <si>
    <t>Mladopter</t>
  </si>
  <si>
    <t>F/2Elbow</t>
  </si>
  <si>
    <t>Repairs</t>
  </si>
  <si>
    <t>Mr. Samuel Kiilu</t>
  </si>
  <si>
    <t>Tank Repair</t>
  </si>
  <si>
    <t>Being cost of water tank repair(leakage)</t>
  </si>
  <si>
    <t>Ezekiel Muthike</t>
  </si>
  <si>
    <t>Compound Cleaning</t>
  </si>
  <si>
    <t>Being cost of compound cleaning</t>
  </si>
  <si>
    <t>KRACU0300007502/54277</t>
  </si>
  <si>
    <t>Pridah Ventures</t>
  </si>
  <si>
    <t>Garbage Collection</t>
  </si>
  <si>
    <t>0933-03100484163</t>
  </si>
  <si>
    <t>Air Freshner</t>
  </si>
  <si>
    <t>Office Air freshner</t>
  </si>
  <si>
    <t>Laundry Detergent</t>
  </si>
  <si>
    <t>Stapler</t>
  </si>
  <si>
    <t>0933-30100534244</t>
  </si>
  <si>
    <t>Office Stapler</t>
  </si>
  <si>
    <t>Hardcover book</t>
  </si>
  <si>
    <t>Office book for repairs</t>
  </si>
  <si>
    <t>Spring file</t>
  </si>
  <si>
    <t>Office file for receipts</t>
  </si>
  <si>
    <t>Dominic Wambua</t>
  </si>
  <si>
    <t>Reception repair</t>
  </si>
  <si>
    <t>Being cost of repair of reception roof</t>
  </si>
  <si>
    <t>0522-02101317183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</si>
</sst>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1" fillId="0" borderId="0" xfId="0" applyFont="1"/>
    <xf numFmtId="0" fontId="4" fillId="0" borderId="0" xfId="0" applyFont="1"/>
    <xf numFmtId="0" fontId="4" fillId="0" borderId="2" xfId="0" applyFont="1" applyBorder="1" applyAlignment="1">
      <alignment vertical="center"/>
    </xf>
    <xf numFmtId="0" fontId="4" fillId="0" borderId="2" xfId="0" applyFont="1" applyFill="1" applyBorder="1"/>
    <xf numFmtId="0" fontId="4" fillId="0" borderId="2" xfId="0" applyFont="1" applyBorder="1"/>
    <xf numFmtId="0" fontId="4" fillId="0" borderId="5" xfId="0" applyFont="1" applyFill="1" applyBorder="1"/>
    <xf numFmtId="0" fontId="4" fillId="0" borderId="3" xfId="0" applyFont="1" applyBorder="1" applyAlignment="1">
      <alignment vertical="center"/>
    </xf>
    <xf numFmtId="0" fontId="4" fillId="0" borderId="3" xfId="0" applyFont="1" applyFill="1" applyBorder="1"/>
    <xf numFmtId="0" fontId="4" fillId="0" borderId="3" xfId="0" applyFont="1" applyBorder="1"/>
    <xf numFmtId="0" fontId="4" fillId="0" borderId="3" xfId="0" applyFont="1" applyBorder="1" applyAlignment="1">
      <alignment horizontal="left" vertical="center" indent="1"/>
    </xf>
    <xf numFmtId="0" fontId="4" fillId="0" borderId="4" xfId="0" applyFont="1" applyBorder="1"/>
    <xf numFmtId="0" fontId="4" fillId="0" borderId="4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5" xfId="0" applyBorder="1"/>
    <xf numFmtId="0" fontId="0" fillId="0" borderId="17" xfId="0" applyBorder="1"/>
    <xf numFmtId="0" fontId="0" fillId="2" borderId="1" xfId="0" applyFill="1" applyBorder="1"/>
    <xf numFmtId="0" fontId="0" fillId="2" borderId="18" xfId="0" applyFill="1" applyBorder="1"/>
    <xf numFmtId="0" fontId="0" fillId="3" borderId="16" xfId="0" applyFill="1" applyBorder="1"/>
    <xf numFmtId="0" fontId="0" fillId="3" borderId="19" xfId="0" applyFill="1" applyBorder="1"/>
    <xf numFmtId="0" fontId="0" fillId="4" borderId="1" xfId="0" applyFill="1" applyBorder="1"/>
    <xf numFmtId="0" fontId="0" fillId="4" borderId="18" xfId="0" applyFill="1" applyBorder="1"/>
    <xf numFmtId="0" fontId="5" fillId="0" borderId="0" xfId="0" applyFont="1"/>
    <xf numFmtId="0" fontId="1" fillId="5" borderId="6" xfId="0" applyFont="1" applyFill="1" applyBorder="1"/>
    <xf numFmtId="0" fontId="1" fillId="5" borderId="7" xfId="0" applyFont="1" applyFill="1" applyBorder="1"/>
    <xf numFmtId="0" fontId="0" fillId="5" borderId="6" xfId="0" applyFill="1" applyBorder="1"/>
    <xf numFmtId="0" fontId="0" fillId="5" borderId="7" xfId="0" applyFill="1" applyBorder="1"/>
    <xf numFmtId="17" fontId="1" fillId="0" borderId="0" xfId="0" applyNumberFormat="1" applyFont="1"/>
    <xf numFmtId="0" fontId="0" fillId="0" borderId="18" xfId="0" applyBorder="1"/>
    <xf numFmtId="17" fontId="0" fillId="0" borderId="23" xfId="0" applyNumberFormat="1" applyBorder="1"/>
    <xf numFmtId="0" fontId="2" fillId="0" borderId="4" xfId="0" applyFont="1" applyBorder="1"/>
    <xf numFmtId="0" fontId="0" fillId="0" borderId="4" xfId="0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 wrapText="1"/>
    </xf>
    <xf numFmtId="43" fontId="3" fillId="0" borderId="0" xfId="1" applyFont="1"/>
    <xf numFmtId="43" fontId="1" fillId="0" borderId="7" xfId="1" applyFont="1" applyBorder="1"/>
    <xf numFmtId="43" fontId="1" fillId="0" borderId="7" xfId="1" applyFont="1" applyBorder="1" applyAlignment="1">
      <alignment horizontal="center" wrapText="1"/>
    </xf>
    <xf numFmtId="43" fontId="1" fillId="0" borderId="8" xfId="1" applyFont="1" applyBorder="1" applyAlignment="1">
      <alignment horizontal="center" wrapText="1"/>
    </xf>
    <xf numFmtId="43" fontId="1" fillId="0" borderId="21" xfId="1" applyFont="1" applyFill="1" applyBorder="1"/>
    <xf numFmtId="43" fontId="1" fillId="0" borderId="22" xfId="1" applyFont="1" applyFill="1" applyBorder="1"/>
    <xf numFmtId="0" fontId="0" fillId="0" borderId="20" xfId="0" applyBorder="1"/>
    <xf numFmtId="0" fontId="0" fillId="4" borderId="21" xfId="0" applyFill="1" applyBorder="1"/>
    <xf numFmtId="0" fontId="0" fillId="2" borderId="21" xfId="0" applyFill="1" applyBorder="1"/>
    <xf numFmtId="0" fontId="0" fillId="3" borderId="22" xfId="0" applyFill="1" applyBorder="1"/>
    <xf numFmtId="0" fontId="0" fillId="0" borderId="1" xfId="0" quotePrefix="1" applyBorder="1"/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16" fontId="0" fillId="0" borderId="1" xfId="0" applyNumberFormat="1" applyBorder="1"/>
    <xf numFmtId="43" fontId="1" fillId="0" borderId="0" xfId="1" applyFont="1"/>
    <xf numFmtId="43" fontId="7" fillId="0" borderId="4" xfId="1" applyFont="1" applyBorder="1"/>
    <xf numFmtId="43" fontId="1" fillId="0" borderId="4" xfId="1" applyFont="1" applyBorder="1"/>
    <xf numFmtId="43" fontId="7" fillId="0" borderId="24" xfId="1" applyFont="1" applyBorder="1"/>
    <xf numFmtId="43" fontId="1" fillId="0" borderId="1" xfId="1" applyFont="1" applyBorder="1"/>
    <xf numFmtId="43" fontId="1" fillId="0" borderId="16" xfId="1" applyFont="1" applyBorder="1"/>
    <xf numFmtId="43" fontId="1" fillId="0" borderId="18" xfId="1" applyFont="1" applyBorder="1"/>
    <xf numFmtId="43" fontId="1" fillId="0" borderId="19" xfId="1" applyFont="1" applyBorder="1"/>
    <xf numFmtId="0" fontId="1" fillId="6" borderId="12" xfId="0" applyFont="1" applyFill="1" applyBorder="1" applyAlignment="1">
      <alignment horizontal="left" wrapText="1"/>
    </xf>
    <xf numFmtId="0" fontId="1" fillId="6" borderId="13" xfId="0" applyFont="1" applyFill="1" applyBorder="1" applyAlignment="1">
      <alignment horizontal="left" wrapText="1"/>
    </xf>
    <xf numFmtId="0" fontId="1" fillId="6" borderId="14" xfId="0" applyFont="1" applyFill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pane ySplit="3" topLeftCell="A4" activePane="bottomLeft" state="frozen"/>
      <selection pane="bottomLeft" activeCell="E5" sqref="E5"/>
    </sheetView>
  </sheetViews>
  <sheetFormatPr defaultRowHeight="15"/>
  <cols>
    <col min="1" max="1" width="3.140625" customWidth="1"/>
    <col min="2" max="2" width="36.85546875" customWidth="1"/>
    <col min="3" max="6" width="20.140625" customWidth="1"/>
  </cols>
  <sheetData>
    <row r="1" spans="1:5" s="2" customFormat="1" ht="18.75">
      <c r="B1" s="2" t="s">
        <v>0</v>
      </c>
    </row>
    <row r="2" spans="1:5" s="2" customFormat="1" ht="19.5" thickBot="1">
      <c r="B2" s="27" t="s">
        <v>91</v>
      </c>
    </row>
    <row r="3" spans="1:5" ht="15.75" thickBot="1">
      <c r="B3" s="16" t="s">
        <v>3</v>
      </c>
      <c r="C3" s="17" t="s">
        <v>7</v>
      </c>
      <c r="D3" s="17" t="s">
        <v>8</v>
      </c>
      <c r="E3" s="18" t="s">
        <v>9</v>
      </c>
    </row>
    <row r="4" spans="1:5">
      <c r="B4" s="62" t="s">
        <v>68</v>
      </c>
      <c r="C4" s="63"/>
      <c r="D4" s="63"/>
      <c r="E4" s="64"/>
    </row>
    <row r="5" spans="1:5">
      <c r="A5">
        <v>1</v>
      </c>
      <c r="B5" s="19" t="s">
        <v>11</v>
      </c>
      <c r="C5" s="25"/>
      <c r="D5" s="21"/>
      <c r="E5" s="23"/>
    </row>
    <row r="6" spans="1:5">
      <c r="A6">
        <v>2</v>
      </c>
      <c r="B6" s="19" t="s">
        <v>54</v>
      </c>
      <c r="C6" s="25"/>
      <c r="D6" s="21"/>
      <c r="E6" s="23"/>
    </row>
    <row r="7" spans="1:5">
      <c r="A7">
        <v>3</v>
      </c>
      <c r="B7" s="19" t="s">
        <v>32</v>
      </c>
      <c r="C7" s="25"/>
      <c r="D7" s="21"/>
      <c r="E7" s="23"/>
    </row>
    <row r="8" spans="1:5">
      <c r="A8">
        <v>4</v>
      </c>
      <c r="B8" s="19" t="s">
        <v>14</v>
      </c>
      <c r="C8" s="25"/>
      <c r="D8" s="21"/>
      <c r="E8" s="23"/>
    </row>
    <row r="9" spans="1:5">
      <c r="A9">
        <v>5</v>
      </c>
      <c r="B9" s="19" t="s">
        <v>19</v>
      </c>
      <c r="C9" s="25"/>
      <c r="D9" s="21"/>
      <c r="E9" s="23"/>
    </row>
    <row r="10" spans="1:5">
      <c r="A10">
        <v>6</v>
      </c>
      <c r="B10" s="19" t="s">
        <v>25</v>
      </c>
      <c r="C10" s="25"/>
      <c r="D10" s="21"/>
      <c r="E10" s="23"/>
    </row>
    <row r="11" spans="1:5">
      <c r="A11">
        <v>7</v>
      </c>
      <c r="B11" s="19" t="s">
        <v>30</v>
      </c>
      <c r="C11" s="25"/>
      <c r="D11" s="21"/>
      <c r="E11" s="23"/>
    </row>
    <row r="12" spans="1:5">
      <c r="A12">
        <v>8</v>
      </c>
      <c r="B12" s="19" t="s">
        <v>39</v>
      </c>
      <c r="C12" s="25"/>
      <c r="D12" s="21"/>
      <c r="E12" s="23"/>
    </row>
    <row r="13" spans="1:5">
      <c r="A13">
        <v>9</v>
      </c>
      <c r="B13" s="19" t="s">
        <v>42</v>
      </c>
      <c r="C13" s="25"/>
      <c r="D13" s="21"/>
      <c r="E13" s="23"/>
    </row>
    <row r="14" spans="1:5">
      <c r="A14">
        <v>10</v>
      </c>
      <c r="B14" s="19" t="s">
        <v>63</v>
      </c>
      <c r="C14" s="25"/>
      <c r="D14" s="21"/>
      <c r="E14" s="23"/>
    </row>
    <row r="15" spans="1:5">
      <c r="A15">
        <v>11</v>
      </c>
      <c r="B15" s="19" t="s">
        <v>52</v>
      </c>
      <c r="C15" s="25"/>
      <c r="D15" s="21"/>
      <c r="E15" s="23"/>
    </row>
    <row r="16" spans="1:5">
      <c r="A16">
        <v>12</v>
      </c>
      <c r="B16" s="19" t="s">
        <v>50</v>
      </c>
      <c r="C16" s="25"/>
      <c r="D16" s="21"/>
      <c r="E16" s="23"/>
    </row>
    <row r="17" spans="1:5">
      <c r="A17">
        <v>13</v>
      </c>
      <c r="B17" s="19" t="s">
        <v>75</v>
      </c>
      <c r="C17" s="25"/>
      <c r="D17" s="21"/>
      <c r="E17" s="23"/>
    </row>
    <row r="18" spans="1:5" ht="15.75" thickBot="1">
      <c r="B18" s="46"/>
      <c r="C18" s="47"/>
      <c r="D18" s="48"/>
      <c r="E18" s="49"/>
    </row>
    <row r="19" spans="1:5" s="4" customFormat="1" ht="15.75" thickBot="1">
      <c r="B19" s="28" t="s">
        <v>67</v>
      </c>
      <c r="C19" s="29">
        <f>SUM(C5:C17)</f>
        <v>0</v>
      </c>
      <c r="D19" s="29">
        <f t="shared" ref="D19:E19" si="0">SUM(D5:D17)</f>
        <v>0</v>
      </c>
      <c r="E19" s="29">
        <f t="shared" si="0"/>
        <v>0</v>
      </c>
    </row>
    <row r="20" spans="1:5">
      <c r="B20" s="62" t="s">
        <v>69</v>
      </c>
      <c r="C20" s="63"/>
      <c r="D20" s="63"/>
      <c r="E20" s="64"/>
    </row>
    <row r="21" spans="1:5">
      <c r="A21">
        <v>1</v>
      </c>
      <c r="B21" s="19" t="s">
        <v>11</v>
      </c>
      <c r="C21" s="25"/>
      <c r="D21" s="21"/>
      <c r="E21" s="23"/>
    </row>
    <row r="22" spans="1:5">
      <c r="A22">
        <v>2</v>
      </c>
      <c r="B22" s="19" t="s">
        <v>54</v>
      </c>
      <c r="C22" s="25"/>
      <c r="D22" s="21"/>
      <c r="E22" s="23"/>
    </row>
    <row r="23" spans="1:5">
      <c r="A23">
        <v>3</v>
      </c>
      <c r="B23" s="19" t="s">
        <v>32</v>
      </c>
      <c r="C23" s="25"/>
      <c r="D23" s="21"/>
      <c r="E23" s="23"/>
    </row>
    <row r="24" spans="1:5">
      <c r="A24">
        <v>4</v>
      </c>
      <c r="B24" s="19" t="s">
        <v>14</v>
      </c>
      <c r="C24" s="25"/>
      <c r="D24" s="21"/>
      <c r="E24" s="23"/>
    </row>
    <row r="25" spans="1:5">
      <c r="A25">
        <v>5</v>
      </c>
      <c r="B25" s="19" t="s">
        <v>19</v>
      </c>
      <c r="C25" s="25"/>
      <c r="D25" s="21"/>
      <c r="E25" s="23"/>
    </row>
    <row r="26" spans="1:5">
      <c r="A26">
        <v>6</v>
      </c>
      <c r="B26" s="19" t="s">
        <v>25</v>
      </c>
      <c r="C26" s="25"/>
      <c r="D26" s="21"/>
      <c r="E26" s="23"/>
    </row>
    <row r="27" spans="1:5">
      <c r="A27">
        <v>7</v>
      </c>
      <c r="B27" s="19" t="s">
        <v>30</v>
      </c>
      <c r="C27" s="25"/>
      <c r="D27" s="21"/>
      <c r="E27" s="23"/>
    </row>
    <row r="28" spans="1:5">
      <c r="A28">
        <v>8</v>
      </c>
      <c r="B28" s="19" t="s">
        <v>39</v>
      </c>
      <c r="C28" s="25"/>
      <c r="D28" s="21"/>
      <c r="E28" s="23"/>
    </row>
    <row r="29" spans="1:5">
      <c r="A29">
        <v>9</v>
      </c>
      <c r="B29" s="19" t="s">
        <v>42</v>
      </c>
      <c r="C29" s="25"/>
      <c r="D29" s="21"/>
      <c r="E29" s="23"/>
    </row>
    <row r="30" spans="1:5">
      <c r="A30">
        <v>10</v>
      </c>
      <c r="B30" s="19" t="s">
        <v>63</v>
      </c>
      <c r="C30" s="25"/>
      <c r="D30" s="21"/>
      <c r="E30" s="23"/>
    </row>
    <row r="31" spans="1:5">
      <c r="A31">
        <v>11</v>
      </c>
      <c r="B31" s="19" t="s">
        <v>52</v>
      </c>
      <c r="C31" s="25"/>
      <c r="D31" s="21"/>
      <c r="E31" s="23"/>
    </row>
    <row r="32" spans="1:5">
      <c r="A32">
        <v>12</v>
      </c>
      <c r="B32" s="19" t="s">
        <v>50</v>
      </c>
      <c r="C32" s="25"/>
      <c r="D32" s="21"/>
      <c r="E32" s="23"/>
    </row>
    <row r="33" spans="1:5" ht="15.75" thickBot="1">
      <c r="A33">
        <v>13</v>
      </c>
      <c r="B33" s="20" t="s">
        <v>75</v>
      </c>
      <c r="C33" s="26"/>
      <c r="D33" s="22"/>
      <c r="E33" s="24"/>
    </row>
    <row r="34" spans="1:5" ht="15.75" thickBot="1">
      <c r="B34" s="30" t="s">
        <v>67</v>
      </c>
      <c r="C34" s="31">
        <f>SUM(C21:C33)</f>
        <v>0</v>
      </c>
      <c r="D34" s="31">
        <f t="shared" ref="D34:E34" si="1">SUM(D21:D33)</f>
        <v>0</v>
      </c>
      <c r="E34" s="31">
        <f t="shared" si="1"/>
        <v>0</v>
      </c>
    </row>
    <row r="35" spans="1:5">
      <c r="B35" s="65" t="s">
        <v>70</v>
      </c>
      <c r="C35" s="66"/>
      <c r="D35" s="66"/>
      <c r="E35" s="67"/>
    </row>
    <row r="36" spans="1:5">
      <c r="A36">
        <v>1</v>
      </c>
      <c r="B36" s="19" t="s">
        <v>11</v>
      </c>
      <c r="C36" s="25"/>
      <c r="D36" s="21"/>
      <c r="E36" s="23"/>
    </row>
    <row r="37" spans="1:5">
      <c r="A37">
        <v>2</v>
      </c>
      <c r="B37" s="19" t="s">
        <v>54</v>
      </c>
      <c r="C37" s="25"/>
      <c r="D37" s="21"/>
      <c r="E37" s="23"/>
    </row>
    <row r="38" spans="1:5">
      <c r="A38">
        <v>3</v>
      </c>
      <c r="B38" s="19" t="s">
        <v>32</v>
      </c>
      <c r="C38" s="25"/>
      <c r="D38" s="21"/>
      <c r="E38" s="23"/>
    </row>
    <row r="39" spans="1:5">
      <c r="A39">
        <v>4</v>
      </c>
      <c r="B39" s="19" t="s">
        <v>14</v>
      </c>
      <c r="C39" s="25"/>
      <c r="D39" s="21"/>
      <c r="E39" s="23"/>
    </row>
    <row r="40" spans="1:5">
      <c r="A40">
        <v>5</v>
      </c>
      <c r="B40" s="19" t="s">
        <v>19</v>
      </c>
      <c r="C40" s="25"/>
      <c r="D40" s="21"/>
      <c r="E40" s="23"/>
    </row>
    <row r="41" spans="1:5">
      <c r="A41">
        <v>6</v>
      </c>
      <c r="B41" s="19" t="s">
        <v>25</v>
      </c>
      <c r="C41" s="25"/>
      <c r="D41" s="21"/>
      <c r="E41" s="23"/>
    </row>
    <row r="42" spans="1:5">
      <c r="A42">
        <v>7</v>
      </c>
      <c r="B42" s="19" t="s">
        <v>30</v>
      </c>
      <c r="C42" s="25"/>
      <c r="D42" s="21"/>
      <c r="E42" s="23"/>
    </row>
    <row r="43" spans="1:5">
      <c r="A43">
        <v>8</v>
      </c>
      <c r="B43" s="19" t="s">
        <v>39</v>
      </c>
      <c r="C43" s="25"/>
      <c r="D43" s="21"/>
      <c r="E43" s="23"/>
    </row>
    <row r="44" spans="1:5">
      <c r="A44">
        <v>9</v>
      </c>
      <c r="B44" s="19" t="s">
        <v>42</v>
      </c>
      <c r="C44" s="25"/>
      <c r="D44" s="21"/>
      <c r="E44" s="23"/>
    </row>
    <row r="45" spans="1:5">
      <c r="A45">
        <v>10</v>
      </c>
      <c r="B45" s="19" t="s">
        <v>63</v>
      </c>
      <c r="C45" s="25"/>
      <c r="D45" s="21"/>
      <c r="E45" s="23"/>
    </row>
    <row r="46" spans="1:5">
      <c r="A46">
        <v>11</v>
      </c>
      <c r="B46" s="19" t="s">
        <v>52</v>
      </c>
      <c r="C46" s="25"/>
      <c r="D46" s="21"/>
      <c r="E46" s="23"/>
    </row>
    <row r="47" spans="1:5">
      <c r="A47">
        <v>12</v>
      </c>
      <c r="B47" s="19" t="s">
        <v>50</v>
      </c>
      <c r="C47" s="25"/>
      <c r="D47" s="21"/>
      <c r="E47" s="23"/>
    </row>
    <row r="48" spans="1:5" ht="15.75" thickBot="1">
      <c r="A48">
        <v>13</v>
      </c>
      <c r="B48" s="20" t="s">
        <v>75</v>
      </c>
      <c r="C48" s="26"/>
      <c r="D48" s="22"/>
      <c r="E48" s="24"/>
    </row>
    <row r="49" spans="1:5" ht="15.75" thickBot="1">
      <c r="B49" s="30" t="s">
        <v>67</v>
      </c>
      <c r="C49" s="31">
        <f>SUM(C36:C48)</f>
        <v>0</v>
      </c>
      <c r="D49" s="31">
        <f t="shared" ref="D49:E49" si="2">SUM(D36:D48)</f>
        <v>0</v>
      </c>
      <c r="E49" s="31">
        <f t="shared" si="2"/>
        <v>0</v>
      </c>
    </row>
    <row r="50" spans="1:5">
      <c r="B50" s="65" t="s">
        <v>71</v>
      </c>
      <c r="C50" s="66"/>
      <c r="D50" s="66"/>
      <c r="E50" s="67"/>
    </row>
    <row r="51" spans="1:5">
      <c r="A51">
        <v>1</v>
      </c>
      <c r="B51" s="19" t="s">
        <v>11</v>
      </c>
      <c r="C51" s="25"/>
      <c r="D51" s="21"/>
      <c r="E51" s="23"/>
    </row>
    <row r="52" spans="1:5">
      <c r="A52">
        <v>2</v>
      </c>
      <c r="B52" s="19" t="s">
        <v>54</v>
      </c>
      <c r="C52" s="25"/>
      <c r="D52" s="21"/>
      <c r="E52" s="23"/>
    </row>
    <row r="53" spans="1:5">
      <c r="A53">
        <v>3</v>
      </c>
      <c r="B53" s="19" t="s">
        <v>32</v>
      </c>
      <c r="C53" s="25"/>
      <c r="D53" s="21"/>
      <c r="E53" s="23"/>
    </row>
    <row r="54" spans="1:5">
      <c r="A54">
        <v>4</v>
      </c>
      <c r="B54" s="19" t="s">
        <v>14</v>
      </c>
      <c r="C54" s="25"/>
      <c r="D54" s="21"/>
      <c r="E54" s="23"/>
    </row>
    <row r="55" spans="1:5">
      <c r="A55">
        <v>5</v>
      </c>
      <c r="B55" s="19" t="s">
        <v>19</v>
      </c>
      <c r="C55" s="25"/>
      <c r="D55" s="21"/>
      <c r="E55" s="23"/>
    </row>
    <row r="56" spans="1:5">
      <c r="A56">
        <v>6</v>
      </c>
      <c r="B56" s="19" t="s">
        <v>25</v>
      </c>
      <c r="C56" s="25"/>
      <c r="D56" s="21"/>
      <c r="E56" s="23"/>
    </row>
    <row r="57" spans="1:5">
      <c r="A57">
        <v>7</v>
      </c>
      <c r="B57" s="19" t="s">
        <v>30</v>
      </c>
      <c r="C57" s="25"/>
      <c r="D57" s="21"/>
      <c r="E57" s="23"/>
    </row>
    <row r="58" spans="1:5">
      <c r="A58">
        <v>8</v>
      </c>
      <c r="B58" s="19" t="s">
        <v>39</v>
      </c>
      <c r="C58" s="25"/>
      <c r="D58" s="21"/>
      <c r="E58" s="23"/>
    </row>
    <row r="59" spans="1:5">
      <c r="A59">
        <v>9</v>
      </c>
      <c r="B59" s="19" t="s">
        <v>42</v>
      </c>
      <c r="C59" s="25"/>
      <c r="D59" s="21"/>
      <c r="E59" s="23"/>
    </row>
    <row r="60" spans="1:5">
      <c r="A60">
        <v>10</v>
      </c>
      <c r="B60" s="19" t="s">
        <v>63</v>
      </c>
      <c r="C60" s="25"/>
      <c r="D60" s="21"/>
      <c r="E60" s="23"/>
    </row>
    <row r="61" spans="1:5">
      <c r="A61">
        <v>11</v>
      </c>
      <c r="B61" s="19" t="s">
        <v>52</v>
      </c>
      <c r="C61" s="25"/>
      <c r="D61" s="21"/>
      <c r="E61" s="23"/>
    </row>
    <row r="62" spans="1:5">
      <c r="A62">
        <v>12</v>
      </c>
      <c r="B62" s="19" t="s">
        <v>50</v>
      </c>
      <c r="C62" s="25"/>
      <c r="D62" s="21"/>
      <c r="E62" s="23"/>
    </row>
    <row r="63" spans="1:5" ht="15.75" thickBot="1">
      <c r="A63">
        <v>13</v>
      </c>
      <c r="B63" s="20" t="s">
        <v>75</v>
      </c>
      <c r="C63" s="25"/>
      <c r="D63" s="22"/>
      <c r="E63" s="24"/>
    </row>
    <row r="64" spans="1:5" ht="15.75" thickBot="1">
      <c r="B64" s="30" t="s">
        <v>67</v>
      </c>
      <c r="C64" s="31">
        <f>SUM(C51:C63)</f>
        <v>0</v>
      </c>
      <c r="D64" s="31">
        <f t="shared" ref="D64:E64" si="3">SUM(D51:D63)</f>
        <v>0</v>
      </c>
      <c r="E64" s="31">
        <f t="shared" si="3"/>
        <v>0</v>
      </c>
    </row>
  </sheetData>
  <mergeCells count="4">
    <mergeCell ref="B4:E4"/>
    <mergeCell ref="B20:E20"/>
    <mergeCell ref="B35:E35"/>
    <mergeCell ref="B50:E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H9" sqref="H9"/>
    </sheetView>
  </sheetViews>
  <sheetFormatPr defaultRowHeight="15"/>
  <cols>
    <col min="1" max="1" width="3.42578125" customWidth="1"/>
    <col min="2" max="2" width="19.28515625" customWidth="1"/>
    <col min="3" max="3" width="13.28515625" customWidth="1"/>
    <col min="4" max="4" width="15.85546875" customWidth="1"/>
    <col min="5" max="5" width="16" customWidth="1"/>
    <col min="6" max="6" width="24" customWidth="1"/>
    <col min="7" max="7" width="16.85546875" customWidth="1"/>
    <col min="8" max="8" width="10.85546875" customWidth="1"/>
    <col min="9" max="9" width="14" customWidth="1"/>
    <col min="10" max="10" width="11.7109375" customWidth="1"/>
    <col min="11" max="11" width="15.42578125" bestFit="1" customWidth="1"/>
    <col min="12" max="12" width="9.140625" customWidth="1"/>
    <col min="14" max="14" width="10.5703125" customWidth="1"/>
  </cols>
  <sheetData>
    <row r="1" spans="1:14" s="2" customFormat="1" ht="18.75"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>
      <c r="B2" s="4" t="s">
        <v>3</v>
      </c>
    </row>
    <row r="3" spans="1:14" ht="52.5" customHeight="1">
      <c r="B3" s="51" t="s">
        <v>11</v>
      </c>
      <c r="C3" s="52" t="s">
        <v>54</v>
      </c>
      <c r="D3" s="52" t="s">
        <v>32</v>
      </c>
      <c r="E3" s="52" t="s">
        <v>14</v>
      </c>
      <c r="F3" s="52" t="s">
        <v>19</v>
      </c>
      <c r="G3" s="51" t="s">
        <v>25</v>
      </c>
      <c r="H3" s="52" t="s">
        <v>30</v>
      </c>
      <c r="I3" s="52" t="s">
        <v>39</v>
      </c>
      <c r="J3" s="51" t="s">
        <v>80</v>
      </c>
      <c r="K3" s="51" t="s">
        <v>63</v>
      </c>
      <c r="L3" s="52" t="s">
        <v>50</v>
      </c>
      <c r="M3" s="52" t="s">
        <v>52</v>
      </c>
      <c r="N3" s="52" t="s">
        <v>94</v>
      </c>
    </row>
    <row r="4" spans="1:14" s="5" customFormat="1" ht="14.25">
      <c r="A4" s="5">
        <v>1</v>
      </c>
      <c r="B4" s="6" t="s">
        <v>12</v>
      </c>
      <c r="C4" s="6" t="s">
        <v>55</v>
      </c>
      <c r="D4" s="7" t="s">
        <v>33</v>
      </c>
      <c r="E4" s="8" t="s">
        <v>15</v>
      </c>
      <c r="F4" s="8" t="s">
        <v>20</v>
      </c>
      <c r="G4" s="8" t="s">
        <v>27</v>
      </c>
      <c r="H4" s="7" t="s">
        <v>31</v>
      </c>
      <c r="I4" s="7" t="s">
        <v>40</v>
      </c>
      <c r="J4" s="9" t="s">
        <v>43</v>
      </c>
      <c r="K4" s="7" t="s">
        <v>66</v>
      </c>
      <c r="L4" s="8"/>
      <c r="M4" s="7" t="s">
        <v>52</v>
      </c>
      <c r="N4" s="8" t="s">
        <v>76</v>
      </c>
    </row>
    <row r="5" spans="1:14" s="5" customFormat="1" ht="14.25">
      <c r="A5" s="5">
        <v>2</v>
      </c>
      <c r="B5" s="10" t="s">
        <v>73</v>
      </c>
      <c r="C5" s="10" t="s">
        <v>56</v>
      </c>
      <c r="D5" s="11" t="s">
        <v>34</v>
      </c>
      <c r="E5" s="12" t="s">
        <v>16</v>
      </c>
      <c r="F5" s="12" t="s">
        <v>21</v>
      </c>
      <c r="G5" s="12" t="s">
        <v>26</v>
      </c>
      <c r="H5" s="12" t="s">
        <v>49</v>
      </c>
      <c r="I5" s="11" t="s">
        <v>41</v>
      </c>
      <c r="J5" s="11" t="s">
        <v>44</v>
      </c>
      <c r="K5" s="11" t="s">
        <v>64</v>
      </c>
      <c r="L5" s="12"/>
      <c r="M5" s="11" t="s">
        <v>53</v>
      </c>
      <c r="N5" s="12" t="s">
        <v>77</v>
      </c>
    </row>
    <row r="6" spans="1:14" s="5" customFormat="1" ht="14.25">
      <c r="A6" s="5">
        <v>3</v>
      </c>
      <c r="B6" s="10" t="s">
        <v>13</v>
      </c>
      <c r="C6" s="10" t="s">
        <v>57</v>
      </c>
      <c r="D6" s="11" t="s">
        <v>35</v>
      </c>
      <c r="E6" s="12" t="s">
        <v>17</v>
      </c>
      <c r="F6" s="12" t="s">
        <v>24</v>
      </c>
      <c r="G6" s="12" t="s">
        <v>29</v>
      </c>
      <c r="H6" s="12" t="s">
        <v>83</v>
      </c>
      <c r="I6" s="12" t="s">
        <v>87</v>
      </c>
      <c r="J6" s="11" t="s">
        <v>45</v>
      </c>
      <c r="K6" s="11" t="s">
        <v>65</v>
      </c>
      <c r="L6" s="12"/>
      <c r="M6" s="12"/>
      <c r="N6" s="12" t="s">
        <v>78</v>
      </c>
    </row>
    <row r="7" spans="1:14" s="5" customFormat="1" ht="14.25">
      <c r="A7" s="5">
        <v>4</v>
      </c>
      <c r="B7" s="10" t="s">
        <v>74</v>
      </c>
      <c r="C7" s="10" t="s">
        <v>58</v>
      </c>
      <c r="D7" s="11" t="s">
        <v>36</v>
      </c>
      <c r="E7" s="12" t="s">
        <v>18</v>
      </c>
      <c r="F7" s="12" t="s">
        <v>22</v>
      </c>
      <c r="G7" s="12" t="s">
        <v>28</v>
      </c>
      <c r="H7" s="12" t="s">
        <v>84</v>
      </c>
      <c r="I7" s="12" t="s">
        <v>86</v>
      </c>
      <c r="J7" s="12" t="s">
        <v>82</v>
      </c>
      <c r="K7" s="11" t="s">
        <v>92</v>
      </c>
      <c r="L7" s="12"/>
      <c r="M7" s="12"/>
      <c r="N7" s="12" t="s">
        <v>79</v>
      </c>
    </row>
    <row r="8" spans="1:14" s="5" customFormat="1" ht="14.25">
      <c r="A8" s="5">
        <v>5</v>
      </c>
      <c r="B8" s="10" t="s">
        <v>59</v>
      </c>
      <c r="C8" s="10" t="s">
        <v>51</v>
      </c>
      <c r="D8" s="11" t="s">
        <v>37</v>
      </c>
      <c r="E8" s="12" t="s">
        <v>97</v>
      </c>
      <c r="F8" s="12" t="s">
        <v>23</v>
      </c>
      <c r="G8" s="12"/>
      <c r="H8" s="12" t="s">
        <v>85</v>
      </c>
      <c r="I8" s="12" t="s">
        <v>90</v>
      </c>
      <c r="J8" s="12"/>
      <c r="K8" s="11" t="s">
        <v>95</v>
      </c>
      <c r="L8" s="12"/>
      <c r="M8" s="12"/>
      <c r="N8" s="12" t="s">
        <v>93</v>
      </c>
    </row>
    <row r="9" spans="1:14" s="5" customFormat="1" ht="14.25">
      <c r="A9" s="5">
        <v>6</v>
      </c>
      <c r="B9" s="12" t="s">
        <v>61</v>
      </c>
      <c r="C9" s="12" t="s">
        <v>60</v>
      </c>
      <c r="D9" s="11" t="s">
        <v>38</v>
      </c>
      <c r="E9" s="12"/>
      <c r="F9" s="12"/>
      <c r="G9" s="12"/>
      <c r="H9" s="12"/>
      <c r="I9" s="12" t="s">
        <v>111</v>
      </c>
      <c r="J9" s="12"/>
      <c r="K9" s="11" t="s">
        <v>96</v>
      </c>
      <c r="L9" s="12"/>
      <c r="M9" s="12"/>
      <c r="N9" s="12"/>
    </row>
    <row r="10" spans="1:14" s="5" customFormat="1" ht="14.25">
      <c r="A10" s="5">
        <v>7</v>
      </c>
      <c r="B10" s="12" t="s">
        <v>89</v>
      </c>
      <c r="C10" s="10" t="s">
        <v>62</v>
      </c>
      <c r="D10" s="12" t="s">
        <v>46</v>
      </c>
      <c r="E10" s="12"/>
      <c r="F10" s="12"/>
      <c r="G10" s="12"/>
      <c r="H10" s="12"/>
      <c r="I10" s="12"/>
      <c r="J10" s="12"/>
      <c r="K10" s="11"/>
      <c r="L10" s="12"/>
      <c r="M10" s="12"/>
      <c r="N10" s="12"/>
    </row>
    <row r="11" spans="1:14" s="5" customFormat="1" ht="14.25">
      <c r="A11" s="5">
        <v>8</v>
      </c>
      <c r="C11" s="12" t="s">
        <v>102</v>
      </c>
      <c r="D11" s="12" t="s">
        <v>47</v>
      </c>
      <c r="E11" s="12"/>
      <c r="F11" s="12"/>
      <c r="G11" s="12"/>
      <c r="H11" s="12"/>
      <c r="I11" s="12"/>
      <c r="J11" s="12"/>
      <c r="K11" s="11"/>
      <c r="L11" s="12"/>
      <c r="M11" s="12"/>
      <c r="N11" s="12"/>
    </row>
    <row r="12" spans="1:14" s="5" customFormat="1" ht="14.25">
      <c r="A12" s="5">
        <v>9</v>
      </c>
      <c r="B12" s="13"/>
      <c r="C12" s="13"/>
      <c r="D12" s="12" t="s">
        <v>48</v>
      </c>
      <c r="E12" s="12"/>
      <c r="F12" s="12"/>
      <c r="G12" s="12"/>
      <c r="H12" s="12"/>
      <c r="I12" s="12"/>
      <c r="J12" s="12"/>
      <c r="K12" s="11"/>
      <c r="L12" s="12"/>
      <c r="M12" s="12"/>
      <c r="N12" s="12"/>
    </row>
    <row r="13" spans="1:14" s="5" customFormat="1" ht="14.25">
      <c r="A13" s="5">
        <v>10</v>
      </c>
      <c r="B13" s="14"/>
      <c r="C13" s="14"/>
      <c r="D13" s="14" t="s">
        <v>81</v>
      </c>
      <c r="E13" s="14"/>
      <c r="F13" s="14"/>
      <c r="G13" s="14"/>
      <c r="H13" s="14"/>
      <c r="I13" s="14"/>
      <c r="J13" s="14"/>
      <c r="K13" s="15"/>
      <c r="L13" s="14"/>
      <c r="M13" s="14"/>
      <c r="N13" s="14"/>
    </row>
  </sheetData>
  <mergeCells count="1">
    <mergeCell ref="B1:N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workbookViewId="0">
      <pane ySplit="16" topLeftCell="A17" activePane="bottomLeft" state="frozen"/>
      <selection pane="bottomLeft" activeCell="K34" sqref="K34"/>
    </sheetView>
  </sheetViews>
  <sheetFormatPr defaultRowHeight="15"/>
  <cols>
    <col min="1" max="1" width="3.5703125" customWidth="1"/>
    <col min="2" max="2" width="7.5703125" customWidth="1"/>
    <col min="3" max="3" width="22.140625" customWidth="1"/>
    <col min="4" max="4" width="18.7109375" customWidth="1"/>
    <col min="5" max="5" width="16.28515625" customWidth="1"/>
    <col min="6" max="6" width="19.28515625" customWidth="1"/>
    <col min="7" max="7" width="34.28515625" customWidth="1"/>
    <col min="8" max="8" width="10" customWidth="1"/>
    <col min="9" max="9" width="8.5703125" customWidth="1"/>
    <col min="10" max="10" width="12.140625" style="54" customWidth="1"/>
    <col min="11" max="11" width="12.85546875" style="54" customWidth="1"/>
    <col min="12" max="12" width="15.7109375" style="54" customWidth="1"/>
    <col min="13" max="14" width="12.140625" customWidth="1"/>
  </cols>
  <sheetData>
    <row r="1" spans="2:13" s="2" customFormat="1" ht="18.75">
      <c r="B1" s="2" t="s">
        <v>0</v>
      </c>
      <c r="J1" s="40"/>
      <c r="K1" s="40"/>
      <c r="L1" s="40"/>
    </row>
    <row r="2" spans="2:13" ht="15.75" thickBot="1">
      <c r="B2" s="32">
        <v>46023</v>
      </c>
    </row>
    <row r="3" spans="2:13" ht="30.75" thickBot="1">
      <c r="B3" s="37" t="s">
        <v>1</v>
      </c>
      <c r="C3" s="38" t="s">
        <v>4</v>
      </c>
      <c r="D3" s="38" t="s">
        <v>10</v>
      </c>
      <c r="E3" s="38" t="s">
        <v>2</v>
      </c>
      <c r="F3" s="38" t="s">
        <v>3</v>
      </c>
      <c r="G3" s="38" t="s">
        <v>100</v>
      </c>
      <c r="H3" s="38" t="s">
        <v>5</v>
      </c>
      <c r="I3" s="39" t="s">
        <v>6</v>
      </c>
      <c r="J3" s="41" t="s">
        <v>7</v>
      </c>
      <c r="K3" s="42" t="s">
        <v>8</v>
      </c>
      <c r="L3" s="43" t="s">
        <v>9</v>
      </c>
    </row>
    <row r="4" spans="2:13" hidden="1">
      <c r="B4" s="34"/>
      <c r="C4" s="35"/>
      <c r="D4" s="36"/>
      <c r="E4" s="36"/>
      <c r="F4" s="36" t="s">
        <v>11</v>
      </c>
      <c r="G4" s="36" t="s">
        <v>72</v>
      </c>
      <c r="H4" s="35"/>
      <c r="I4" s="35"/>
      <c r="J4" s="55"/>
      <c r="K4" s="56"/>
      <c r="L4" s="57"/>
      <c r="M4" s="1"/>
    </row>
    <row r="5" spans="2:13" hidden="1">
      <c r="B5" s="19"/>
      <c r="C5" s="3"/>
      <c r="D5" s="3"/>
      <c r="E5" s="3"/>
      <c r="F5" s="3" t="s">
        <v>54</v>
      </c>
      <c r="G5" s="3" t="s">
        <v>72</v>
      </c>
      <c r="H5" s="3"/>
      <c r="I5" s="3"/>
      <c r="J5" s="58"/>
      <c r="K5" s="58"/>
      <c r="L5" s="59"/>
    </row>
    <row r="6" spans="2:13" hidden="1">
      <c r="B6" s="19"/>
      <c r="C6" s="3"/>
      <c r="D6" s="3"/>
      <c r="E6" s="3"/>
      <c r="F6" s="3" t="s">
        <v>32</v>
      </c>
      <c r="G6" s="3" t="s">
        <v>72</v>
      </c>
      <c r="H6" s="3"/>
      <c r="I6" s="3"/>
      <c r="J6" s="58"/>
      <c r="K6" s="58"/>
      <c r="L6" s="59"/>
    </row>
    <row r="7" spans="2:13" hidden="1">
      <c r="B7" s="19"/>
      <c r="C7" s="3"/>
      <c r="D7" s="3"/>
      <c r="E7" s="3"/>
      <c r="F7" s="3" t="s">
        <v>14</v>
      </c>
      <c r="G7" s="3" t="s">
        <v>72</v>
      </c>
      <c r="H7" s="3"/>
      <c r="I7" s="3"/>
      <c r="J7" s="58"/>
      <c r="K7" s="58"/>
      <c r="L7" s="59"/>
    </row>
    <row r="8" spans="2:13" hidden="1">
      <c r="B8" s="19"/>
      <c r="C8" s="3"/>
      <c r="D8" s="3"/>
      <c r="E8" s="3"/>
      <c r="F8" s="3" t="s">
        <v>19</v>
      </c>
      <c r="G8" s="3" t="s">
        <v>72</v>
      </c>
      <c r="H8" s="3"/>
      <c r="I8" s="3"/>
      <c r="J8" s="58"/>
      <c r="K8" s="58"/>
      <c r="L8" s="59"/>
    </row>
    <row r="9" spans="2:13" hidden="1">
      <c r="B9" s="19"/>
      <c r="C9" s="3"/>
      <c r="D9" s="3"/>
      <c r="E9" s="3"/>
      <c r="F9" s="3" t="s">
        <v>25</v>
      </c>
      <c r="G9" s="3" t="s">
        <v>72</v>
      </c>
      <c r="H9" s="3"/>
      <c r="I9" s="3"/>
      <c r="J9" s="58"/>
      <c r="K9" s="58"/>
      <c r="L9" s="59"/>
    </row>
    <row r="10" spans="2:13" hidden="1">
      <c r="B10" s="19"/>
      <c r="C10" s="3"/>
      <c r="D10" s="3"/>
      <c r="E10" s="3"/>
      <c r="F10" s="3" t="s">
        <v>30</v>
      </c>
      <c r="G10" s="3" t="s">
        <v>72</v>
      </c>
      <c r="H10" s="3"/>
      <c r="I10" s="3"/>
      <c r="J10" s="58"/>
      <c r="K10" s="58"/>
      <c r="L10" s="59"/>
    </row>
    <row r="11" spans="2:13" hidden="1">
      <c r="B11" s="19"/>
      <c r="C11" s="3"/>
      <c r="D11" s="3"/>
      <c r="E11" s="3"/>
      <c r="F11" s="3" t="s">
        <v>39</v>
      </c>
      <c r="G11" s="3" t="s">
        <v>72</v>
      </c>
      <c r="H11" s="3"/>
      <c r="I11" s="3"/>
      <c r="J11" s="58"/>
      <c r="K11" s="58"/>
      <c r="L11" s="59"/>
    </row>
    <row r="12" spans="2:13" hidden="1">
      <c r="B12" s="19"/>
      <c r="C12" s="3"/>
      <c r="D12" s="3"/>
      <c r="E12" s="3"/>
      <c r="F12" s="3" t="s">
        <v>80</v>
      </c>
      <c r="G12" s="3" t="s">
        <v>72</v>
      </c>
      <c r="H12" s="3"/>
      <c r="I12" s="3"/>
      <c r="J12" s="58"/>
      <c r="K12" s="58"/>
      <c r="L12" s="59"/>
    </row>
    <row r="13" spans="2:13" hidden="1">
      <c r="B13" s="19"/>
      <c r="C13" s="3"/>
      <c r="D13" s="3"/>
      <c r="E13" s="3"/>
      <c r="F13" s="3" t="s">
        <v>63</v>
      </c>
      <c r="G13" s="3" t="s">
        <v>72</v>
      </c>
      <c r="H13" s="3"/>
      <c r="I13" s="3"/>
      <c r="J13" s="58"/>
      <c r="K13" s="58"/>
      <c r="L13" s="59"/>
    </row>
    <row r="14" spans="2:13" hidden="1">
      <c r="B14" s="19"/>
      <c r="C14" s="3"/>
      <c r="D14" s="3"/>
      <c r="E14" s="3"/>
      <c r="F14" s="3" t="s">
        <v>52</v>
      </c>
      <c r="G14" s="3" t="s">
        <v>72</v>
      </c>
      <c r="H14" s="3"/>
      <c r="I14" s="3"/>
      <c r="J14" s="58"/>
      <c r="K14" s="58"/>
      <c r="L14" s="59"/>
    </row>
    <row r="15" spans="2:13" hidden="1">
      <c r="B15" s="19"/>
      <c r="C15" s="3"/>
      <c r="D15" s="3"/>
      <c r="E15" s="3"/>
      <c r="F15" s="3" t="s">
        <v>50</v>
      </c>
      <c r="G15" s="3" t="s">
        <v>72</v>
      </c>
      <c r="H15" s="3"/>
      <c r="I15" s="3"/>
      <c r="J15" s="58"/>
      <c r="K15" s="58"/>
      <c r="L15" s="59"/>
    </row>
    <row r="16" spans="2:13" hidden="1">
      <c r="B16" s="19"/>
      <c r="C16" s="3"/>
      <c r="D16" s="3"/>
      <c r="E16" s="3"/>
      <c r="F16" s="3" t="s">
        <v>94</v>
      </c>
      <c r="G16" s="3" t="s">
        <v>72</v>
      </c>
      <c r="H16" s="3"/>
      <c r="I16" s="3"/>
      <c r="J16" s="58"/>
      <c r="K16" s="58"/>
      <c r="L16" s="59"/>
    </row>
    <row r="17" spans="1:12">
      <c r="A17">
        <v>1</v>
      </c>
      <c r="B17" s="53">
        <v>46023</v>
      </c>
      <c r="C17" s="3" t="s">
        <v>98</v>
      </c>
      <c r="D17" s="50" t="s">
        <v>99</v>
      </c>
      <c r="E17" s="3" t="s">
        <v>82</v>
      </c>
      <c r="F17" s="3" t="s">
        <v>80</v>
      </c>
      <c r="G17" s="3" t="s">
        <v>101</v>
      </c>
      <c r="H17" s="3">
        <v>1</v>
      </c>
      <c r="I17" s="3">
        <v>265</v>
      </c>
      <c r="J17" s="58">
        <f>H17*I17</f>
        <v>265</v>
      </c>
      <c r="K17" s="58">
        <v>265</v>
      </c>
      <c r="L17" s="59"/>
    </row>
    <row r="18" spans="1:12">
      <c r="A18">
        <v>2</v>
      </c>
      <c r="B18" s="53">
        <v>46024</v>
      </c>
      <c r="C18" s="3" t="s">
        <v>103</v>
      </c>
      <c r="D18" s="3">
        <v>2577</v>
      </c>
      <c r="E18" s="3" t="s">
        <v>104</v>
      </c>
      <c r="F18" s="3" t="s">
        <v>32</v>
      </c>
      <c r="G18" s="3" t="s">
        <v>105</v>
      </c>
      <c r="H18" s="3">
        <v>2</v>
      </c>
      <c r="I18" s="3">
        <v>400</v>
      </c>
      <c r="J18" s="58">
        <f>H18*I18</f>
        <v>800</v>
      </c>
      <c r="K18" s="58"/>
      <c r="L18" s="59">
        <v>800</v>
      </c>
    </row>
    <row r="19" spans="1:12">
      <c r="A19">
        <v>3</v>
      </c>
      <c r="B19" s="53">
        <v>46024</v>
      </c>
      <c r="C19" s="3" t="s">
        <v>108</v>
      </c>
      <c r="D19" s="3" t="s">
        <v>107</v>
      </c>
      <c r="E19" s="3" t="s">
        <v>106</v>
      </c>
      <c r="F19" s="3" t="s">
        <v>52</v>
      </c>
      <c r="G19" s="3" t="s">
        <v>53</v>
      </c>
      <c r="H19" s="3">
        <v>10.84</v>
      </c>
      <c r="I19" s="3">
        <f>2000/H19</f>
        <v>184.50184501845018</v>
      </c>
      <c r="J19" s="58">
        <f t="shared" ref="J19:J82" si="0">H19*I19</f>
        <v>2000</v>
      </c>
      <c r="K19" s="58">
        <v>2000</v>
      </c>
      <c r="L19" s="59"/>
    </row>
    <row r="20" spans="1:12">
      <c r="A20">
        <v>4</v>
      </c>
      <c r="B20" s="53">
        <v>46025</v>
      </c>
      <c r="C20" s="3" t="s">
        <v>109</v>
      </c>
      <c r="D20" s="50">
        <v>417834127</v>
      </c>
      <c r="E20" s="3" t="s">
        <v>110</v>
      </c>
      <c r="F20" s="3" t="s">
        <v>39</v>
      </c>
      <c r="G20" s="3" t="s">
        <v>112</v>
      </c>
      <c r="H20" s="3">
        <v>1</v>
      </c>
      <c r="I20" s="3">
        <v>100</v>
      </c>
      <c r="J20" s="58">
        <f t="shared" si="0"/>
        <v>100</v>
      </c>
      <c r="K20" s="58">
        <v>100</v>
      </c>
      <c r="L20" s="59"/>
    </row>
    <row r="21" spans="1:12">
      <c r="A21">
        <v>5</v>
      </c>
      <c r="B21" s="53">
        <v>46026</v>
      </c>
      <c r="C21" s="3" t="s">
        <v>113</v>
      </c>
      <c r="D21" s="3" t="s">
        <v>72</v>
      </c>
      <c r="E21" s="3" t="s">
        <v>114</v>
      </c>
      <c r="F21" s="3" t="s">
        <v>19</v>
      </c>
      <c r="G21" s="3" t="s">
        <v>116</v>
      </c>
      <c r="H21" s="3">
        <v>1</v>
      </c>
      <c r="I21" s="3">
        <v>70</v>
      </c>
      <c r="J21" s="58">
        <f t="shared" si="0"/>
        <v>70</v>
      </c>
      <c r="K21" s="58"/>
      <c r="L21" s="59">
        <v>70</v>
      </c>
    </row>
    <row r="22" spans="1:12">
      <c r="A22">
        <v>6</v>
      </c>
      <c r="B22" s="53"/>
      <c r="C22" s="3"/>
      <c r="D22" s="3"/>
      <c r="E22" s="3" t="s">
        <v>115</v>
      </c>
      <c r="F22" s="3" t="s">
        <v>19</v>
      </c>
      <c r="G22" s="3" t="s">
        <v>116</v>
      </c>
      <c r="H22" s="3">
        <v>1</v>
      </c>
      <c r="I22" s="3">
        <v>80</v>
      </c>
      <c r="J22" s="58">
        <f t="shared" si="0"/>
        <v>80</v>
      </c>
      <c r="K22" s="58"/>
      <c r="L22" s="59">
        <v>80</v>
      </c>
    </row>
    <row r="23" spans="1:12">
      <c r="A23">
        <v>7</v>
      </c>
      <c r="B23" s="53">
        <v>46026</v>
      </c>
      <c r="C23" s="3" t="s">
        <v>117</v>
      </c>
      <c r="D23" s="3" t="s">
        <v>72</v>
      </c>
      <c r="E23" s="3" t="s">
        <v>118</v>
      </c>
      <c r="F23" s="3" t="s">
        <v>19</v>
      </c>
      <c r="G23" s="3" t="s">
        <v>119</v>
      </c>
      <c r="H23" s="3">
        <v>1</v>
      </c>
      <c r="I23" s="3">
        <f>4400+500+500+1300</f>
        <v>6700</v>
      </c>
      <c r="J23" s="58">
        <f>H23*I23</f>
        <v>6700</v>
      </c>
      <c r="K23" s="58"/>
      <c r="L23" s="59">
        <f>J23</f>
        <v>6700</v>
      </c>
    </row>
    <row r="24" spans="1:12">
      <c r="A24">
        <v>8</v>
      </c>
      <c r="B24" s="53">
        <v>46028</v>
      </c>
      <c r="C24" s="3" t="s">
        <v>120</v>
      </c>
      <c r="D24" s="3" t="s">
        <v>72</v>
      </c>
      <c r="E24" s="3" t="s">
        <v>121</v>
      </c>
      <c r="F24" s="3" t="s">
        <v>94</v>
      </c>
      <c r="G24" s="3" t="s">
        <v>122</v>
      </c>
      <c r="H24" s="3">
        <v>1</v>
      </c>
      <c r="I24" s="3">
        <v>300</v>
      </c>
      <c r="J24" s="58">
        <f t="shared" si="0"/>
        <v>300</v>
      </c>
      <c r="K24" s="58"/>
      <c r="L24" s="59">
        <v>300</v>
      </c>
    </row>
    <row r="25" spans="1:12">
      <c r="A25">
        <v>9</v>
      </c>
      <c r="B25" s="53">
        <v>46029</v>
      </c>
      <c r="C25" s="3" t="s">
        <v>108</v>
      </c>
      <c r="D25" s="3" t="s">
        <v>123</v>
      </c>
      <c r="E25" s="3" t="s">
        <v>106</v>
      </c>
      <c r="F25" s="3" t="s">
        <v>52</v>
      </c>
      <c r="G25" s="3" t="s">
        <v>53</v>
      </c>
      <c r="H25" s="3">
        <v>10.84</v>
      </c>
      <c r="I25" s="3">
        <f>2000/H25</f>
        <v>184.50184501845018</v>
      </c>
      <c r="J25" s="58">
        <f t="shared" si="0"/>
        <v>2000</v>
      </c>
      <c r="K25" s="58">
        <v>2000</v>
      </c>
      <c r="L25" s="59"/>
    </row>
    <row r="26" spans="1:12">
      <c r="A26">
        <v>10</v>
      </c>
      <c r="B26" s="53">
        <v>46030</v>
      </c>
      <c r="C26" s="3" t="s">
        <v>124</v>
      </c>
      <c r="D26" s="3">
        <v>374</v>
      </c>
      <c r="E26" s="3" t="s">
        <v>125</v>
      </c>
      <c r="F26" s="3" t="s">
        <v>14</v>
      </c>
      <c r="G26" s="3" t="s">
        <v>125</v>
      </c>
      <c r="H26" s="3">
        <v>1</v>
      </c>
      <c r="I26" s="3">
        <v>2000</v>
      </c>
      <c r="J26" s="58">
        <f t="shared" si="0"/>
        <v>2000</v>
      </c>
      <c r="K26" s="58"/>
      <c r="L26" s="59">
        <v>2000</v>
      </c>
    </row>
    <row r="27" spans="1:12">
      <c r="A27">
        <v>11</v>
      </c>
      <c r="B27" s="53">
        <v>46031</v>
      </c>
      <c r="C27" s="3" t="s">
        <v>98</v>
      </c>
      <c r="D27" s="50" t="s">
        <v>126</v>
      </c>
      <c r="E27" s="3" t="s">
        <v>127</v>
      </c>
      <c r="F27" s="3" t="s">
        <v>30</v>
      </c>
      <c r="G27" s="3" t="s">
        <v>128</v>
      </c>
      <c r="H27" s="3">
        <v>1</v>
      </c>
      <c r="I27" s="3">
        <v>195</v>
      </c>
      <c r="J27" s="58">
        <f t="shared" si="0"/>
        <v>195</v>
      </c>
      <c r="K27" s="58">
        <v>195</v>
      </c>
      <c r="L27" s="59"/>
    </row>
    <row r="28" spans="1:12">
      <c r="A28">
        <v>12</v>
      </c>
      <c r="B28" s="53"/>
      <c r="C28" s="3"/>
      <c r="D28" s="3"/>
      <c r="E28" s="3" t="s">
        <v>83</v>
      </c>
      <c r="F28" s="3" t="s">
        <v>30</v>
      </c>
      <c r="G28" s="3" t="s">
        <v>129</v>
      </c>
      <c r="H28" s="3">
        <v>1</v>
      </c>
      <c r="I28" s="3">
        <v>1200</v>
      </c>
      <c r="J28" s="58">
        <f t="shared" si="0"/>
        <v>1200</v>
      </c>
      <c r="K28" s="58">
        <v>1200</v>
      </c>
      <c r="L28" s="59"/>
    </row>
    <row r="29" spans="1:12">
      <c r="A29">
        <v>13</v>
      </c>
      <c r="B29" s="53">
        <v>44938</v>
      </c>
      <c r="C29" s="3" t="s">
        <v>98</v>
      </c>
      <c r="D29" s="50" t="s">
        <v>131</v>
      </c>
      <c r="E29" s="3" t="s">
        <v>130</v>
      </c>
      <c r="F29" s="3" t="s">
        <v>39</v>
      </c>
      <c r="G29" s="3" t="s">
        <v>132</v>
      </c>
      <c r="H29" s="3">
        <v>1</v>
      </c>
      <c r="I29" s="3">
        <v>480</v>
      </c>
      <c r="J29" s="58">
        <f t="shared" si="0"/>
        <v>480</v>
      </c>
      <c r="K29" s="58">
        <v>480</v>
      </c>
      <c r="L29" s="59"/>
    </row>
    <row r="30" spans="1:12">
      <c r="A30">
        <v>14</v>
      </c>
      <c r="B30" s="19"/>
      <c r="C30" s="3"/>
      <c r="D30" s="3"/>
      <c r="E30" s="3" t="s">
        <v>133</v>
      </c>
      <c r="F30" s="3" t="s">
        <v>39</v>
      </c>
      <c r="G30" s="3" t="s">
        <v>134</v>
      </c>
      <c r="H30" s="3">
        <v>1</v>
      </c>
      <c r="I30" s="3">
        <v>130</v>
      </c>
      <c r="J30" s="58">
        <f t="shared" si="0"/>
        <v>130</v>
      </c>
      <c r="K30" s="58">
        <v>130</v>
      </c>
      <c r="L30" s="59"/>
    </row>
    <row r="31" spans="1:12">
      <c r="A31">
        <v>15</v>
      </c>
      <c r="B31" s="19"/>
      <c r="C31" s="3"/>
      <c r="D31" s="3"/>
      <c r="E31" s="3" t="s">
        <v>135</v>
      </c>
      <c r="F31" s="3" t="s">
        <v>39</v>
      </c>
      <c r="G31" s="3" t="s">
        <v>136</v>
      </c>
      <c r="H31" s="3">
        <v>1</v>
      </c>
      <c r="I31" s="3">
        <v>92</v>
      </c>
      <c r="J31" s="58">
        <f t="shared" si="0"/>
        <v>92</v>
      </c>
      <c r="K31" s="58">
        <v>92</v>
      </c>
      <c r="L31" s="59"/>
    </row>
    <row r="32" spans="1:12">
      <c r="A32">
        <v>16</v>
      </c>
      <c r="B32" s="53">
        <v>44938</v>
      </c>
      <c r="C32" s="3" t="s">
        <v>137</v>
      </c>
      <c r="D32" s="3" t="s">
        <v>72</v>
      </c>
      <c r="E32" s="3" t="s">
        <v>138</v>
      </c>
      <c r="F32" s="3" t="s">
        <v>19</v>
      </c>
      <c r="G32" s="3" t="s">
        <v>139</v>
      </c>
      <c r="H32" s="3">
        <v>1</v>
      </c>
      <c r="I32" s="3">
        <v>1060</v>
      </c>
      <c r="J32" s="58">
        <f t="shared" si="0"/>
        <v>1060</v>
      </c>
      <c r="K32" s="58"/>
      <c r="L32" s="59">
        <v>1060</v>
      </c>
    </row>
    <row r="33" spans="1:12">
      <c r="A33">
        <v>17</v>
      </c>
      <c r="B33" s="53">
        <v>44942</v>
      </c>
      <c r="C33" s="3" t="s">
        <v>98</v>
      </c>
      <c r="D33" s="3" t="s">
        <v>140</v>
      </c>
      <c r="E33" s="3" t="s">
        <v>82</v>
      </c>
      <c r="F33" s="3" t="s">
        <v>80</v>
      </c>
      <c r="G33" s="3" t="s">
        <v>101</v>
      </c>
      <c r="H33" s="3">
        <v>1</v>
      </c>
      <c r="I33" s="3">
        <v>335</v>
      </c>
      <c r="J33" s="58">
        <f t="shared" si="0"/>
        <v>335</v>
      </c>
      <c r="K33" s="58">
        <v>335</v>
      </c>
      <c r="L33" s="59"/>
    </row>
    <row r="34" spans="1:12">
      <c r="A34">
        <v>18</v>
      </c>
      <c r="B34" s="19"/>
      <c r="C34" s="3"/>
      <c r="D34" s="3"/>
      <c r="E34" s="3"/>
      <c r="F34" s="3"/>
      <c r="G34" s="3"/>
      <c r="H34" s="3"/>
      <c r="I34" s="3"/>
      <c r="J34" s="58">
        <f t="shared" si="0"/>
        <v>0</v>
      </c>
      <c r="K34" s="58"/>
      <c r="L34" s="59"/>
    </row>
    <row r="35" spans="1:12">
      <c r="A35">
        <v>19</v>
      </c>
      <c r="B35" s="19"/>
      <c r="C35" s="3"/>
      <c r="D35" s="3"/>
      <c r="E35" s="3"/>
      <c r="F35" s="3"/>
      <c r="G35" s="3"/>
      <c r="H35" s="3"/>
      <c r="I35" s="3"/>
      <c r="J35" s="58">
        <f t="shared" si="0"/>
        <v>0</v>
      </c>
      <c r="K35" s="58"/>
      <c r="L35" s="59"/>
    </row>
    <row r="36" spans="1:12">
      <c r="A36">
        <v>20</v>
      </c>
      <c r="B36" s="19"/>
      <c r="C36" s="3"/>
      <c r="D36" s="3"/>
      <c r="E36" s="3"/>
      <c r="F36" s="3"/>
      <c r="G36" s="3"/>
      <c r="H36" s="3"/>
      <c r="I36" s="3"/>
      <c r="J36" s="58">
        <f t="shared" si="0"/>
        <v>0</v>
      </c>
      <c r="K36" s="58"/>
      <c r="L36" s="59"/>
    </row>
    <row r="37" spans="1:12">
      <c r="A37">
        <v>21</v>
      </c>
      <c r="B37" s="19"/>
      <c r="C37" s="3"/>
      <c r="D37" s="3"/>
      <c r="E37" s="3"/>
      <c r="F37" s="3"/>
      <c r="G37" s="3"/>
      <c r="H37" s="3"/>
      <c r="I37" s="3"/>
      <c r="J37" s="58">
        <f t="shared" si="0"/>
        <v>0</v>
      </c>
      <c r="K37" s="58"/>
      <c r="L37" s="59"/>
    </row>
    <row r="38" spans="1:12">
      <c r="A38">
        <v>22</v>
      </c>
      <c r="B38" s="19"/>
      <c r="C38" s="3"/>
      <c r="D38" s="3"/>
      <c r="E38" s="3"/>
      <c r="F38" s="3"/>
      <c r="G38" s="3"/>
      <c r="H38" s="3"/>
      <c r="I38" s="3"/>
      <c r="J38" s="58">
        <f t="shared" si="0"/>
        <v>0</v>
      </c>
      <c r="K38" s="58"/>
      <c r="L38" s="59"/>
    </row>
    <row r="39" spans="1:12">
      <c r="A39">
        <v>23</v>
      </c>
      <c r="B39" s="19"/>
      <c r="C39" s="3"/>
      <c r="D39" s="3"/>
      <c r="E39" s="3"/>
      <c r="F39" s="3"/>
      <c r="G39" s="3"/>
      <c r="H39" s="3"/>
      <c r="I39" s="3"/>
      <c r="J39" s="58">
        <f t="shared" si="0"/>
        <v>0</v>
      </c>
      <c r="K39" s="58"/>
      <c r="L39" s="59"/>
    </row>
    <row r="40" spans="1:12">
      <c r="A40">
        <v>24</v>
      </c>
      <c r="B40" s="19"/>
      <c r="C40" s="3"/>
      <c r="D40" s="3"/>
      <c r="E40" s="3"/>
      <c r="F40" s="3"/>
      <c r="G40" s="3"/>
      <c r="H40" s="3"/>
      <c r="I40" s="3"/>
      <c r="J40" s="58">
        <f t="shared" si="0"/>
        <v>0</v>
      </c>
      <c r="K40" s="58"/>
      <c r="L40" s="59"/>
    </row>
    <row r="41" spans="1:12">
      <c r="A41">
        <v>25</v>
      </c>
      <c r="B41" s="19"/>
      <c r="C41" s="3"/>
      <c r="D41" s="3"/>
      <c r="E41" s="3"/>
      <c r="F41" s="3"/>
      <c r="G41" s="3"/>
      <c r="H41" s="3"/>
      <c r="I41" s="3"/>
      <c r="J41" s="58">
        <f t="shared" si="0"/>
        <v>0</v>
      </c>
      <c r="K41" s="58"/>
      <c r="L41" s="59"/>
    </row>
    <row r="42" spans="1:12">
      <c r="A42">
        <v>26</v>
      </c>
      <c r="B42" s="19"/>
      <c r="C42" s="3"/>
      <c r="D42" s="3"/>
      <c r="E42" s="3"/>
      <c r="F42" s="3"/>
      <c r="G42" s="3"/>
      <c r="H42" s="3"/>
      <c r="I42" s="3"/>
      <c r="J42" s="58">
        <f t="shared" si="0"/>
        <v>0</v>
      </c>
      <c r="K42" s="58"/>
      <c r="L42" s="59"/>
    </row>
    <row r="43" spans="1:12">
      <c r="A43">
        <v>27</v>
      </c>
      <c r="B43" s="19"/>
      <c r="C43" s="3"/>
      <c r="D43" s="3"/>
      <c r="E43" s="3"/>
      <c r="F43" s="3"/>
      <c r="G43" s="3"/>
      <c r="H43" s="3"/>
      <c r="I43" s="3"/>
      <c r="J43" s="58">
        <f t="shared" si="0"/>
        <v>0</v>
      </c>
      <c r="K43" s="58"/>
      <c r="L43" s="59"/>
    </row>
    <row r="44" spans="1:12">
      <c r="A44">
        <v>28</v>
      </c>
      <c r="B44" s="19"/>
      <c r="C44" s="3"/>
      <c r="D44" s="3"/>
      <c r="E44" s="3"/>
      <c r="F44" s="3"/>
      <c r="G44" s="3"/>
      <c r="H44" s="3"/>
      <c r="I44" s="3"/>
      <c r="J44" s="58">
        <f t="shared" si="0"/>
        <v>0</v>
      </c>
      <c r="K44" s="58"/>
      <c r="L44" s="59"/>
    </row>
    <row r="45" spans="1:12">
      <c r="A45">
        <v>29</v>
      </c>
      <c r="B45" s="19"/>
      <c r="C45" s="3"/>
      <c r="D45" s="3"/>
      <c r="E45" s="3"/>
      <c r="F45" s="3"/>
      <c r="G45" s="3"/>
      <c r="H45" s="3"/>
      <c r="I45" s="3"/>
      <c r="J45" s="58">
        <f t="shared" si="0"/>
        <v>0</v>
      </c>
      <c r="K45" s="58"/>
      <c r="L45" s="59"/>
    </row>
    <row r="46" spans="1:12">
      <c r="A46">
        <v>30</v>
      </c>
      <c r="B46" s="19"/>
      <c r="C46" s="3"/>
      <c r="D46" s="3"/>
      <c r="E46" s="3"/>
      <c r="F46" s="3"/>
      <c r="G46" s="3"/>
      <c r="H46" s="3"/>
      <c r="I46" s="3"/>
      <c r="J46" s="58">
        <f t="shared" si="0"/>
        <v>0</v>
      </c>
      <c r="K46" s="58"/>
      <c r="L46" s="59"/>
    </row>
    <row r="47" spans="1:12">
      <c r="A47">
        <v>31</v>
      </c>
      <c r="B47" s="19"/>
      <c r="C47" s="3"/>
      <c r="D47" s="3"/>
      <c r="E47" s="3"/>
      <c r="F47" s="3"/>
      <c r="G47" s="3"/>
      <c r="H47" s="3"/>
      <c r="I47" s="3"/>
      <c r="J47" s="58">
        <f t="shared" si="0"/>
        <v>0</v>
      </c>
      <c r="K47" s="58"/>
      <c r="L47" s="59"/>
    </row>
    <row r="48" spans="1:12">
      <c r="A48">
        <v>32</v>
      </c>
      <c r="B48" s="19"/>
      <c r="C48" s="3"/>
      <c r="D48" s="3"/>
      <c r="E48" s="3"/>
      <c r="F48" s="3"/>
      <c r="G48" s="3"/>
      <c r="H48" s="3"/>
      <c r="I48" s="3"/>
      <c r="J48" s="58">
        <f t="shared" si="0"/>
        <v>0</v>
      </c>
      <c r="K48" s="58"/>
      <c r="L48" s="59"/>
    </row>
    <row r="49" spans="1:12">
      <c r="A49">
        <v>33</v>
      </c>
      <c r="B49" s="19"/>
      <c r="C49" s="3"/>
      <c r="D49" s="3"/>
      <c r="E49" s="3"/>
      <c r="F49" s="3"/>
      <c r="G49" s="3"/>
      <c r="H49" s="3"/>
      <c r="I49" s="3"/>
      <c r="J49" s="58">
        <f t="shared" si="0"/>
        <v>0</v>
      </c>
      <c r="K49" s="58"/>
      <c r="L49" s="59"/>
    </row>
    <row r="50" spans="1:12">
      <c r="A50">
        <v>34</v>
      </c>
      <c r="B50" s="19"/>
      <c r="C50" s="3"/>
      <c r="D50" s="3"/>
      <c r="E50" s="3"/>
      <c r="F50" s="3"/>
      <c r="G50" s="3"/>
      <c r="H50" s="3"/>
      <c r="I50" s="3"/>
      <c r="J50" s="58">
        <f t="shared" si="0"/>
        <v>0</v>
      </c>
      <c r="K50" s="58"/>
      <c r="L50" s="59"/>
    </row>
    <row r="51" spans="1:12">
      <c r="A51">
        <v>35</v>
      </c>
      <c r="B51" s="19"/>
      <c r="C51" s="3"/>
      <c r="D51" s="3"/>
      <c r="E51" s="3"/>
      <c r="F51" s="3"/>
      <c r="G51" s="3"/>
      <c r="H51" s="3"/>
      <c r="I51" s="3"/>
      <c r="J51" s="58">
        <f t="shared" si="0"/>
        <v>0</v>
      </c>
      <c r="K51" s="58"/>
      <c r="L51" s="59"/>
    </row>
    <row r="52" spans="1:12">
      <c r="A52">
        <v>36</v>
      </c>
      <c r="B52" s="19"/>
      <c r="C52" s="3"/>
      <c r="D52" s="3"/>
      <c r="E52" s="3"/>
      <c r="F52" s="3"/>
      <c r="G52" s="3"/>
      <c r="H52" s="3"/>
      <c r="I52" s="3"/>
      <c r="J52" s="58">
        <f t="shared" si="0"/>
        <v>0</v>
      </c>
      <c r="K52" s="58"/>
      <c r="L52" s="59"/>
    </row>
    <row r="53" spans="1:12">
      <c r="A53">
        <v>37</v>
      </c>
      <c r="B53" s="19"/>
      <c r="C53" s="3"/>
      <c r="D53" s="3"/>
      <c r="E53" s="3"/>
      <c r="F53" s="3"/>
      <c r="G53" s="3"/>
      <c r="H53" s="3"/>
      <c r="I53" s="3"/>
      <c r="J53" s="58">
        <f t="shared" si="0"/>
        <v>0</v>
      </c>
      <c r="K53" s="58"/>
      <c r="L53" s="59"/>
    </row>
    <row r="54" spans="1:12">
      <c r="A54">
        <v>38</v>
      </c>
      <c r="B54" s="19"/>
      <c r="C54" s="3"/>
      <c r="D54" s="3"/>
      <c r="E54" s="3"/>
      <c r="F54" s="3"/>
      <c r="G54" s="3"/>
      <c r="H54" s="3"/>
      <c r="I54" s="3"/>
      <c r="J54" s="58">
        <f t="shared" si="0"/>
        <v>0</v>
      </c>
      <c r="K54" s="58"/>
      <c r="L54" s="59"/>
    </row>
    <row r="55" spans="1:12">
      <c r="A55">
        <v>39</v>
      </c>
      <c r="B55" s="19"/>
      <c r="C55" s="3"/>
      <c r="D55" s="3"/>
      <c r="E55" s="3"/>
      <c r="F55" s="3"/>
      <c r="G55" s="3"/>
      <c r="H55" s="3"/>
      <c r="I55" s="3"/>
      <c r="J55" s="58">
        <f t="shared" si="0"/>
        <v>0</v>
      </c>
      <c r="K55" s="58"/>
      <c r="L55" s="59"/>
    </row>
    <row r="56" spans="1:12">
      <c r="A56">
        <v>40</v>
      </c>
      <c r="B56" s="19"/>
      <c r="C56" s="3"/>
      <c r="D56" s="3"/>
      <c r="E56" s="3"/>
      <c r="F56" s="3"/>
      <c r="G56" s="3"/>
      <c r="H56" s="3"/>
      <c r="I56" s="3"/>
      <c r="J56" s="58">
        <f t="shared" si="0"/>
        <v>0</v>
      </c>
      <c r="K56" s="58"/>
      <c r="L56" s="59"/>
    </row>
    <row r="57" spans="1:12">
      <c r="A57">
        <v>41</v>
      </c>
      <c r="B57" s="19"/>
      <c r="C57" s="3"/>
      <c r="D57" s="3"/>
      <c r="E57" s="3"/>
      <c r="F57" s="3"/>
      <c r="G57" s="3"/>
      <c r="H57" s="3"/>
      <c r="I57" s="3"/>
      <c r="J57" s="58">
        <f t="shared" si="0"/>
        <v>0</v>
      </c>
      <c r="K57" s="58"/>
      <c r="L57" s="59"/>
    </row>
    <row r="58" spans="1:12">
      <c r="A58">
        <v>42</v>
      </c>
      <c r="B58" s="19"/>
      <c r="C58" s="3"/>
      <c r="D58" s="3"/>
      <c r="E58" s="3"/>
      <c r="F58" s="3"/>
      <c r="G58" s="3"/>
      <c r="H58" s="3"/>
      <c r="I58" s="3"/>
      <c r="J58" s="58">
        <f t="shared" si="0"/>
        <v>0</v>
      </c>
      <c r="K58" s="58"/>
      <c r="L58" s="59"/>
    </row>
    <row r="59" spans="1:12">
      <c r="A59">
        <v>43</v>
      </c>
      <c r="B59" s="19"/>
      <c r="C59" s="3"/>
      <c r="D59" s="3"/>
      <c r="E59" s="3"/>
      <c r="F59" s="3"/>
      <c r="G59" s="3"/>
      <c r="H59" s="3"/>
      <c r="I59" s="3"/>
      <c r="J59" s="58">
        <f t="shared" si="0"/>
        <v>0</v>
      </c>
      <c r="K59" s="58"/>
      <c r="L59" s="59"/>
    </row>
    <row r="60" spans="1:12">
      <c r="A60">
        <v>44</v>
      </c>
      <c r="B60" s="19"/>
      <c r="C60" s="3"/>
      <c r="D60" s="3"/>
      <c r="E60" s="3"/>
      <c r="F60" s="3"/>
      <c r="G60" s="3"/>
      <c r="H60" s="3"/>
      <c r="I60" s="3"/>
      <c r="J60" s="58">
        <f t="shared" si="0"/>
        <v>0</v>
      </c>
      <c r="K60" s="58"/>
      <c r="L60" s="59"/>
    </row>
    <row r="61" spans="1:12">
      <c r="A61">
        <v>45</v>
      </c>
      <c r="B61" s="19"/>
      <c r="C61" s="3"/>
      <c r="D61" s="3"/>
      <c r="E61" s="3"/>
      <c r="F61" s="3"/>
      <c r="G61" s="3"/>
      <c r="H61" s="3"/>
      <c r="I61" s="3"/>
      <c r="J61" s="58">
        <f t="shared" si="0"/>
        <v>0</v>
      </c>
      <c r="K61" s="58"/>
      <c r="L61" s="59"/>
    </row>
    <row r="62" spans="1:12">
      <c r="A62">
        <v>46</v>
      </c>
      <c r="B62" s="19"/>
      <c r="C62" s="3"/>
      <c r="D62" s="3"/>
      <c r="E62" s="3"/>
      <c r="F62" s="3"/>
      <c r="G62" s="3"/>
      <c r="H62" s="3"/>
      <c r="I62" s="3"/>
      <c r="J62" s="58">
        <f t="shared" si="0"/>
        <v>0</v>
      </c>
      <c r="K62" s="58"/>
      <c r="L62" s="59"/>
    </row>
    <row r="63" spans="1:12">
      <c r="A63">
        <v>47</v>
      </c>
      <c r="B63" s="19"/>
      <c r="C63" s="3"/>
      <c r="D63" s="3"/>
      <c r="E63" s="3"/>
      <c r="F63" s="3"/>
      <c r="G63" s="3"/>
      <c r="H63" s="3"/>
      <c r="I63" s="3"/>
      <c r="J63" s="58">
        <f t="shared" si="0"/>
        <v>0</v>
      </c>
      <c r="K63" s="58"/>
      <c r="L63" s="59"/>
    </row>
    <row r="64" spans="1:12">
      <c r="A64">
        <v>48</v>
      </c>
      <c r="B64" s="19"/>
      <c r="C64" s="3"/>
      <c r="D64" s="3"/>
      <c r="E64" s="3"/>
      <c r="F64" s="3"/>
      <c r="G64" s="3"/>
      <c r="H64" s="3"/>
      <c r="I64" s="3"/>
      <c r="J64" s="58">
        <f t="shared" si="0"/>
        <v>0</v>
      </c>
      <c r="K64" s="58"/>
      <c r="L64" s="59"/>
    </row>
    <row r="65" spans="1:12">
      <c r="A65">
        <v>49</v>
      </c>
      <c r="B65" s="19"/>
      <c r="C65" s="3"/>
      <c r="D65" s="3"/>
      <c r="E65" s="3"/>
      <c r="F65" s="3"/>
      <c r="G65" s="3"/>
      <c r="H65" s="3"/>
      <c r="I65" s="3"/>
      <c r="J65" s="58">
        <f t="shared" si="0"/>
        <v>0</v>
      </c>
      <c r="K65" s="58"/>
      <c r="L65" s="59"/>
    </row>
    <row r="66" spans="1:12">
      <c r="A66">
        <v>50</v>
      </c>
      <c r="B66" s="19"/>
      <c r="C66" s="3"/>
      <c r="D66" s="3"/>
      <c r="E66" s="3"/>
      <c r="F66" s="3"/>
      <c r="G66" s="3"/>
      <c r="H66" s="3"/>
      <c r="I66" s="3"/>
      <c r="J66" s="58">
        <f t="shared" si="0"/>
        <v>0</v>
      </c>
      <c r="K66" s="58"/>
      <c r="L66" s="59"/>
    </row>
    <row r="67" spans="1:12">
      <c r="A67">
        <v>51</v>
      </c>
      <c r="B67" s="19"/>
      <c r="C67" s="3"/>
      <c r="D67" s="3"/>
      <c r="E67" s="3"/>
      <c r="F67" s="3"/>
      <c r="G67" s="3"/>
      <c r="H67" s="3"/>
      <c r="I67" s="3"/>
      <c r="J67" s="58">
        <f t="shared" si="0"/>
        <v>0</v>
      </c>
      <c r="K67" s="58"/>
      <c r="L67" s="59"/>
    </row>
    <row r="68" spans="1:12">
      <c r="A68">
        <v>52</v>
      </c>
      <c r="B68" s="19"/>
      <c r="C68" s="3"/>
      <c r="D68" s="3"/>
      <c r="E68" s="3"/>
      <c r="F68" s="3"/>
      <c r="G68" s="3"/>
      <c r="H68" s="3"/>
      <c r="I68" s="3"/>
      <c r="J68" s="58">
        <f t="shared" si="0"/>
        <v>0</v>
      </c>
      <c r="K68" s="58"/>
      <c r="L68" s="59"/>
    </row>
    <row r="69" spans="1:12">
      <c r="A69">
        <v>53</v>
      </c>
      <c r="B69" s="19"/>
      <c r="C69" s="3"/>
      <c r="D69" s="3"/>
      <c r="E69" s="3"/>
      <c r="F69" s="3"/>
      <c r="G69" s="3"/>
      <c r="H69" s="3"/>
      <c r="I69" s="3"/>
      <c r="J69" s="58">
        <f t="shared" si="0"/>
        <v>0</v>
      </c>
      <c r="K69" s="58"/>
      <c r="L69" s="59"/>
    </row>
    <row r="70" spans="1:12">
      <c r="A70">
        <v>54</v>
      </c>
      <c r="B70" s="19"/>
      <c r="C70" s="3"/>
      <c r="D70" s="3"/>
      <c r="E70" s="3"/>
      <c r="F70" s="3"/>
      <c r="G70" s="3"/>
      <c r="H70" s="3"/>
      <c r="I70" s="3"/>
      <c r="J70" s="58">
        <f t="shared" si="0"/>
        <v>0</v>
      </c>
      <c r="K70" s="58"/>
      <c r="L70" s="59"/>
    </row>
    <row r="71" spans="1:12">
      <c r="A71">
        <v>55</v>
      </c>
      <c r="B71" s="19"/>
      <c r="C71" s="3"/>
      <c r="D71" s="3"/>
      <c r="E71" s="3"/>
      <c r="F71" s="3"/>
      <c r="G71" s="3"/>
      <c r="H71" s="3"/>
      <c r="I71" s="3"/>
      <c r="J71" s="58">
        <f t="shared" si="0"/>
        <v>0</v>
      </c>
      <c r="K71" s="58"/>
      <c r="L71" s="59"/>
    </row>
    <row r="72" spans="1:12">
      <c r="A72">
        <v>56</v>
      </c>
      <c r="B72" s="19"/>
      <c r="C72" s="3"/>
      <c r="D72" s="3"/>
      <c r="E72" s="3"/>
      <c r="F72" s="3"/>
      <c r="G72" s="3"/>
      <c r="H72" s="3"/>
      <c r="I72" s="3"/>
      <c r="J72" s="58">
        <f t="shared" si="0"/>
        <v>0</v>
      </c>
      <c r="K72" s="58"/>
      <c r="L72" s="59"/>
    </row>
    <row r="73" spans="1:12">
      <c r="A73">
        <v>57</v>
      </c>
      <c r="B73" s="19"/>
      <c r="C73" s="3"/>
      <c r="D73" s="3"/>
      <c r="E73" s="3"/>
      <c r="F73" s="3"/>
      <c r="G73" s="3"/>
      <c r="H73" s="3"/>
      <c r="I73" s="3"/>
      <c r="J73" s="58">
        <f t="shared" si="0"/>
        <v>0</v>
      </c>
      <c r="K73" s="58"/>
      <c r="L73" s="59"/>
    </row>
    <row r="74" spans="1:12">
      <c r="A74">
        <v>58</v>
      </c>
      <c r="B74" s="19"/>
      <c r="C74" s="3"/>
      <c r="D74" s="3"/>
      <c r="E74" s="3"/>
      <c r="F74" s="3"/>
      <c r="G74" s="3"/>
      <c r="H74" s="3"/>
      <c r="I74" s="3"/>
      <c r="J74" s="58">
        <f t="shared" si="0"/>
        <v>0</v>
      </c>
      <c r="K74" s="58"/>
      <c r="L74" s="59"/>
    </row>
    <row r="75" spans="1:12">
      <c r="A75">
        <v>59</v>
      </c>
      <c r="B75" s="19"/>
      <c r="C75" s="3"/>
      <c r="D75" s="3"/>
      <c r="E75" s="3"/>
      <c r="F75" s="3"/>
      <c r="G75" s="3"/>
      <c r="H75" s="3"/>
      <c r="I75" s="3"/>
      <c r="J75" s="58">
        <f t="shared" si="0"/>
        <v>0</v>
      </c>
      <c r="K75" s="58"/>
      <c r="L75" s="59"/>
    </row>
    <row r="76" spans="1:12">
      <c r="A76">
        <v>60</v>
      </c>
      <c r="B76" s="19"/>
      <c r="C76" s="3"/>
      <c r="D76" s="3"/>
      <c r="E76" s="3"/>
      <c r="F76" s="3"/>
      <c r="G76" s="3"/>
      <c r="H76" s="3"/>
      <c r="I76" s="3"/>
      <c r="J76" s="58">
        <f t="shared" si="0"/>
        <v>0</v>
      </c>
      <c r="K76" s="58"/>
      <c r="L76" s="59"/>
    </row>
    <row r="77" spans="1:12">
      <c r="A77">
        <v>61</v>
      </c>
      <c r="B77" s="19"/>
      <c r="C77" s="3"/>
      <c r="D77" s="3"/>
      <c r="E77" s="3"/>
      <c r="F77" s="3"/>
      <c r="G77" s="3"/>
      <c r="H77" s="3"/>
      <c r="I77" s="3"/>
      <c r="J77" s="58">
        <f t="shared" si="0"/>
        <v>0</v>
      </c>
      <c r="K77" s="58"/>
      <c r="L77" s="59"/>
    </row>
    <row r="78" spans="1:12">
      <c r="A78">
        <v>62</v>
      </c>
      <c r="B78" s="19"/>
      <c r="C78" s="3"/>
      <c r="D78" s="3"/>
      <c r="E78" s="3"/>
      <c r="F78" s="3"/>
      <c r="G78" s="3"/>
      <c r="H78" s="3"/>
      <c r="I78" s="3"/>
      <c r="J78" s="58">
        <f t="shared" si="0"/>
        <v>0</v>
      </c>
      <c r="K78" s="58"/>
      <c r="L78" s="59"/>
    </row>
    <row r="79" spans="1:12">
      <c r="A79">
        <v>63</v>
      </c>
      <c r="B79" s="19"/>
      <c r="C79" s="3"/>
      <c r="D79" s="3"/>
      <c r="E79" s="3"/>
      <c r="F79" s="3"/>
      <c r="G79" s="3"/>
      <c r="H79" s="3"/>
      <c r="I79" s="3"/>
      <c r="J79" s="58">
        <f t="shared" si="0"/>
        <v>0</v>
      </c>
      <c r="K79" s="58"/>
      <c r="L79" s="59"/>
    </row>
    <row r="80" spans="1:12">
      <c r="A80">
        <v>64</v>
      </c>
      <c r="B80" s="19"/>
      <c r="C80" s="3"/>
      <c r="D80" s="3"/>
      <c r="E80" s="3"/>
      <c r="F80" s="3"/>
      <c r="G80" s="3"/>
      <c r="H80" s="3"/>
      <c r="I80" s="3"/>
      <c r="J80" s="58">
        <f t="shared" si="0"/>
        <v>0</v>
      </c>
      <c r="K80" s="58"/>
      <c r="L80" s="59"/>
    </row>
    <row r="81" spans="1:12">
      <c r="A81">
        <v>65</v>
      </c>
      <c r="B81" s="19"/>
      <c r="C81" s="3"/>
      <c r="D81" s="3"/>
      <c r="E81" s="3"/>
      <c r="F81" s="3"/>
      <c r="G81" s="3"/>
      <c r="H81" s="3"/>
      <c r="I81" s="3"/>
      <c r="J81" s="58">
        <f t="shared" si="0"/>
        <v>0</v>
      </c>
      <c r="K81" s="58"/>
      <c r="L81" s="59"/>
    </row>
    <row r="82" spans="1:12">
      <c r="A82">
        <v>66</v>
      </c>
      <c r="B82" s="19"/>
      <c r="C82" s="3"/>
      <c r="D82" s="3"/>
      <c r="E82" s="3"/>
      <c r="F82" s="3"/>
      <c r="G82" s="3"/>
      <c r="H82" s="3"/>
      <c r="I82" s="3"/>
      <c r="J82" s="58">
        <f t="shared" si="0"/>
        <v>0</v>
      </c>
      <c r="K82" s="58"/>
      <c r="L82" s="59"/>
    </row>
    <row r="83" spans="1:12">
      <c r="A83">
        <v>67</v>
      </c>
      <c r="B83" s="19"/>
      <c r="C83" s="3"/>
      <c r="D83" s="3"/>
      <c r="E83" s="3"/>
      <c r="F83" s="3"/>
      <c r="G83" s="3"/>
      <c r="H83" s="3"/>
      <c r="I83" s="3"/>
      <c r="J83" s="58">
        <f t="shared" ref="J83:J99" si="1">H83*I83</f>
        <v>0</v>
      </c>
      <c r="K83" s="58"/>
      <c r="L83" s="59"/>
    </row>
    <row r="84" spans="1:12">
      <c r="A84">
        <v>68</v>
      </c>
      <c r="B84" s="19"/>
      <c r="C84" s="3"/>
      <c r="D84" s="3"/>
      <c r="E84" s="3"/>
      <c r="F84" s="3"/>
      <c r="G84" s="3"/>
      <c r="H84" s="3"/>
      <c r="I84" s="3"/>
      <c r="J84" s="58">
        <f t="shared" si="1"/>
        <v>0</v>
      </c>
      <c r="K84" s="58"/>
      <c r="L84" s="59"/>
    </row>
    <row r="85" spans="1:12">
      <c r="A85">
        <v>69</v>
      </c>
      <c r="B85" s="19"/>
      <c r="C85" s="3"/>
      <c r="D85" s="3"/>
      <c r="E85" s="3"/>
      <c r="F85" s="3"/>
      <c r="G85" s="3"/>
      <c r="H85" s="3"/>
      <c r="I85" s="3"/>
      <c r="J85" s="58">
        <f t="shared" si="1"/>
        <v>0</v>
      </c>
      <c r="K85" s="58"/>
      <c r="L85" s="59"/>
    </row>
    <row r="86" spans="1:12">
      <c r="A86">
        <v>70</v>
      </c>
      <c r="B86" s="19"/>
      <c r="C86" s="3"/>
      <c r="D86" s="3"/>
      <c r="E86" s="3"/>
      <c r="F86" s="3"/>
      <c r="G86" s="3"/>
      <c r="H86" s="3"/>
      <c r="I86" s="3"/>
      <c r="J86" s="58">
        <f t="shared" si="1"/>
        <v>0</v>
      </c>
      <c r="K86" s="58"/>
      <c r="L86" s="59"/>
    </row>
    <row r="87" spans="1:12">
      <c r="A87">
        <v>71</v>
      </c>
      <c r="B87" s="19"/>
      <c r="C87" s="3"/>
      <c r="D87" s="3"/>
      <c r="E87" s="3"/>
      <c r="F87" s="3"/>
      <c r="G87" s="3"/>
      <c r="H87" s="3"/>
      <c r="I87" s="3"/>
      <c r="J87" s="58">
        <f t="shared" si="1"/>
        <v>0</v>
      </c>
      <c r="K87" s="58"/>
      <c r="L87" s="59"/>
    </row>
    <row r="88" spans="1:12">
      <c r="A88">
        <v>72</v>
      </c>
      <c r="B88" s="19"/>
      <c r="C88" s="3"/>
      <c r="D88" s="3"/>
      <c r="E88" s="3"/>
      <c r="F88" s="3"/>
      <c r="G88" s="3"/>
      <c r="H88" s="3"/>
      <c r="I88" s="3"/>
      <c r="J88" s="58">
        <f t="shared" si="1"/>
        <v>0</v>
      </c>
      <c r="K88" s="58"/>
      <c r="L88" s="59"/>
    </row>
    <row r="89" spans="1:12">
      <c r="A89">
        <v>73</v>
      </c>
      <c r="B89" s="19"/>
      <c r="C89" s="3"/>
      <c r="D89" s="3"/>
      <c r="E89" s="3"/>
      <c r="F89" s="3"/>
      <c r="G89" s="3"/>
      <c r="H89" s="3"/>
      <c r="I89" s="3"/>
      <c r="J89" s="58">
        <f t="shared" si="1"/>
        <v>0</v>
      </c>
      <c r="K89" s="58"/>
      <c r="L89" s="59"/>
    </row>
    <row r="90" spans="1:12">
      <c r="A90">
        <v>74</v>
      </c>
      <c r="B90" s="19"/>
      <c r="C90" s="3"/>
      <c r="D90" s="3"/>
      <c r="E90" s="3"/>
      <c r="F90" s="3"/>
      <c r="G90" s="3"/>
      <c r="H90" s="3"/>
      <c r="I90" s="3"/>
      <c r="J90" s="58">
        <f t="shared" si="1"/>
        <v>0</v>
      </c>
      <c r="K90" s="58"/>
      <c r="L90" s="59"/>
    </row>
    <row r="91" spans="1:12">
      <c r="A91">
        <v>75</v>
      </c>
      <c r="B91" s="19"/>
      <c r="C91" s="3"/>
      <c r="D91" s="3"/>
      <c r="E91" s="3"/>
      <c r="F91" s="3"/>
      <c r="G91" s="3"/>
      <c r="H91" s="3"/>
      <c r="I91" s="3"/>
      <c r="J91" s="58">
        <f t="shared" si="1"/>
        <v>0</v>
      </c>
      <c r="K91" s="58"/>
      <c r="L91" s="59"/>
    </row>
    <row r="92" spans="1:12">
      <c r="A92">
        <v>76</v>
      </c>
      <c r="B92" s="19"/>
      <c r="C92" s="3"/>
      <c r="D92" s="3"/>
      <c r="E92" s="3"/>
      <c r="F92" s="3"/>
      <c r="G92" s="3"/>
      <c r="H92" s="3"/>
      <c r="I92" s="3"/>
      <c r="J92" s="58">
        <f t="shared" si="1"/>
        <v>0</v>
      </c>
      <c r="K92" s="58"/>
      <c r="L92" s="59"/>
    </row>
    <row r="93" spans="1:12">
      <c r="A93">
        <v>77</v>
      </c>
      <c r="B93" s="19"/>
      <c r="C93" s="3"/>
      <c r="D93" s="3"/>
      <c r="E93" s="3"/>
      <c r="F93" s="3"/>
      <c r="G93" s="3"/>
      <c r="H93" s="3"/>
      <c r="I93" s="3"/>
      <c r="J93" s="58">
        <f t="shared" si="1"/>
        <v>0</v>
      </c>
      <c r="K93" s="58"/>
      <c r="L93" s="59"/>
    </row>
    <row r="94" spans="1:12">
      <c r="A94">
        <v>78</v>
      </c>
      <c r="B94" s="19"/>
      <c r="C94" s="3"/>
      <c r="D94" s="3"/>
      <c r="E94" s="3"/>
      <c r="F94" s="3"/>
      <c r="G94" s="3"/>
      <c r="H94" s="3"/>
      <c r="I94" s="3"/>
      <c r="J94" s="58">
        <f t="shared" si="1"/>
        <v>0</v>
      </c>
      <c r="K94" s="58"/>
      <c r="L94" s="59"/>
    </row>
    <row r="95" spans="1:12">
      <c r="A95">
        <v>79</v>
      </c>
      <c r="B95" s="19"/>
      <c r="C95" s="3"/>
      <c r="D95" s="3"/>
      <c r="E95" s="3"/>
      <c r="F95" s="3"/>
      <c r="G95" s="3"/>
      <c r="H95" s="3"/>
      <c r="I95" s="3"/>
      <c r="J95" s="58">
        <f t="shared" si="1"/>
        <v>0</v>
      </c>
      <c r="K95" s="58"/>
      <c r="L95" s="59"/>
    </row>
    <row r="96" spans="1:12">
      <c r="A96">
        <v>80</v>
      </c>
      <c r="B96" s="19"/>
      <c r="C96" s="3"/>
      <c r="D96" s="3"/>
      <c r="E96" s="3"/>
      <c r="F96" s="3"/>
      <c r="G96" s="3"/>
      <c r="H96" s="3"/>
      <c r="I96" s="3"/>
      <c r="J96" s="58">
        <f t="shared" si="1"/>
        <v>0</v>
      </c>
      <c r="K96" s="58"/>
      <c r="L96" s="59"/>
    </row>
    <row r="97" spans="1:12">
      <c r="A97">
        <v>81</v>
      </c>
      <c r="B97" s="19"/>
      <c r="C97" s="3"/>
      <c r="D97" s="3"/>
      <c r="E97" s="3"/>
      <c r="F97" s="3"/>
      <c r="G97" s="3"/>
      <c r="H97" s="3"/>
      <c r="I97" s="3"/>
      <c r="J97" s="58">
        <f t="shared" si="1"/>
        <v>0</v>
      </c>
      <c r="K97" s="58"/>
      <c r="L97" s="59"/>
    </row>
    <row r="98" spans="1:12">
      <c r="A98">
        <v>82</v>
      </c>
      <c r="B98" s="19"/>
      <c r="C98" s="3"/>
      <c r="D98" s="3"/>
      <c r="E98" s="3"/>
      <c r="F98" s="3"/>
      <c r="G98" s="3"/>
      <c r="H98" s="3"/>
      <c r="I98" s="3"/>
      <c r="J98" s="58">
        <f t="shared" si="1"/>
        <v>0</v>
      </c>
      <c r="K98" s="58"/>
      <c r="L98" s="59"/>
    </row>
    <row r="99" spans="1:12" ht="15.75" thickBot="1">
      <c r="A99">
        <v>83</v>
      </c>
      <c r="B99" s="20"/>
      <c r="C99" s="33"/>
      <c r="D99" s="33"/>
      <c r="E99" s="33"/>
      <c r="F99" s="33"/>
      <c r="G99" s="33"/>
      <c r="H99" s="33"/>
      <c r="I99" s="33"/>
      <c r="J99" s="60">
        <f t="shared" si="1"/>
        <v>0</v>
      </c>
      <c r="K99" s="60"/>
      <c r="L99" s="61"/>
    </row>
    <row r="100" spans="1:12" ht="15.75" thickBot="1">
      <c r="G100" s="69" t="s">
        <v>88</v>
      </c>
      <c r="H100" s="70"/>
      <c r="I100" s="70"/>
      <c r="J100" s="44">
        <f>SUM(J17:J99)</f>
        <v>17807</v>
      </c>
      <c r="K100" s="44">
        <f t="shared" ref="K100:L100" si="2">SUM(K17:K99)</f>
        <v>6797</v>
      </c>
      <c r="L100" s="45">
        <f t="shared" si="2"/>
        <v>11010</v>
      </c>
    </row>
  </sheetData>
  <autoFilter ref="F3:F32"/>
  <mergeCells count="1">
    <mergeCell ref="G100:I100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E. REPORT</vt:lpstr>
      <vt:lpstr>LIST OF CATEGORIES</vt:lpstr>
      <vt:lpstr>JANUARY</vt:lpstr>
    </vt:vector>
  </TitlesOfParts>
  <Company>by adguard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Rest Perk</cp:lastModifiedBy>
  <dcterms:created xsi:type="dcterms:W3CDTF">2025-12-18T06:51:17Z</dcterms:created>
  <dcterms:modified xsi:type="dcterms:W3CDTF">2026-01-16T08:30:13Z</dcterms:modified>
</cp:coreProperties>
</file>